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e0f372290a7e22/Desktop/"/>
    </mc:Choice>
  </mc:AlternateContent>
  <xr:revisionPtr revIDLastSave="0" documentId="13_ncr:1_{D43F1527-C754-494D-B361-FE9A4C4ECDF7}" xr6:coauthVersionLast="47" xr6:coauthVersionMax="47" xr10:uidLastSave="{00000000-0000-0000-0000-000000000000}"/>
  <bookViews>
    <workbookView xWindow="-120" yWindow="-120" windowWidth="20640" windowHeight="11310" xr2:uid="{B762FD9E-E47E-41CF-9171-7737AD95329E}"/>
  </bookViews>
  <sheets>
    <sheet name="商品進捗管理表" sheetId="36" r:id="rId1"/>
    <sheet name="決定ラベル" sheetId="33" r:id="rId2"/>
    <sheet name="ラベル付位置" sheetId="34" r:id="rId3"/>
    <sheet name="仮見積もり（BGN)" sheetId="35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２００９季節のくらし初夏号">[1]営業管理日程2010!#REF!</definedName>
    <definedName name="_２００９好きな暮らし秋号">#REF!</definedName>
    <definedName name="COLOR">#REF!</definedName>
    <definedName name="KATAROGU">#REF!</definedName>
    <definedName name="_xlnm.Print_Area" localSheetId="2">ラベル付位置!$A$1:$AR$87</definedName>
    <definedName name="_xlnm.Print_Area" localSheetId="0">商品進捗管理表!$B$1:$R$54</definedName>
    <definedName name="SAIZU">#REF!</definedName>
    <definedName name="WEB">#REF!</definedName>
    <definedName name="クリアランス">'[2]2009営業+追加対策媒体(クリアランス）'!$H$1:$AT$65536</definedName>
    <definedName name="項目１">#REF!</definedName>
    <definedName name="水着1">[3]水着一覧!$A$1:$AQ$15</definedName>
    <definedName name="担当2">[4]PDデータ!$A$1:$K$1</definedName>
    <definedName name="担当者">[4]PDデータ!$A$1:$I$1</definedName>
    <definedName name="担当者3">[5]PDデータ!$A$1:$L$1</definedName>
    <definedName name="統一版発行計画">'[2]2009年間発行計画'!$H$1:$AR$65536</definedName>
    <definedName name="統一版発行計画週宅">'[2]2009週次宅配'!$H$1:$V$65536</definedName>
    <definedName name="媒体名">#REF!</definedName>
    <definedName name="品番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6" l="1"/>
  <c r="G48" i="35"/>
  <c r="H42" i="35"/>
  <c r="H37" i="35"/>
  <c r="H34" i="35"/>
  <c r="H32" i="35"/>
  <c r="H28" i="35"/>
  <c r="H25" i="35"/>
  <c r="H22" i="35"/>
  <c r="H20" i="35"/>
  <c r="C18" i="35"/>
  <c r="H15" i="35"/>
  <c r="H14" i="35"/>
  <c r="H13" i="35"/>
  <c r="H12" i="35"/>
  <c r="H11" i="35"/>
  <c r="H46" i="35" s="1"/>
  <c r="H47" i="35" s="1"/>
  <c r="C4" i="35"/>
  <c r="B56" i="35" l="1"/>
  <c r="H50" i="35"/>
  <c r="I3" i="35" s="1"/>
  <c r="G50" i="35"/>
  <c r="G56" i="35" l="1"/>
  <c r="D60" i="35" s="1"/>
  <c r="H60" i="35" s="1"/>
  <c r="D56" i="35"/>
</calcChain>
</file>

<file path=xl/sharedStrings.xml><?xml version="1.0" encoding="utf-8"?>
<sst xmlns="http://schemas.openxmlformats.org/spreadsheetml/2006/main" count="179" uniqueCount="163">
  <si>
    <t>備考</t>
    <rPh sb="0" eb="2">
      <t>ビコウ</t>
    </rPh>
    <phoneticPr fontId="4"/>
  </si>
  <si>
    <r>
      <rPr>
        <b/>
        <sz val="18"/>
        <color indexed="8"/>
        <rFont val="ＭＳ Ｐゴシック"/>
        <family val="3"/>
        <charset val="128"/>
      </rPr>
      <t>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品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進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捗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管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書</t>
    </r>
    <rPh sb="0" eb="1">
      <t>ショウ</t>
    </rPh>
    <rPh sb="2" eb="3">
      <t>ヒン</t>
    </rPh>
    <rPh sb="4" eb="5">
      <t>シン</t>
    </rPh>
    <rPh sb="6" eb="7">
      <t>チョク</t>
    </rPh>
    <rPh sb="8" eb="9">
      <t>カン</t>
    </rPh>
    <rPh sb="10" eb="11">
      <t>リ</t>
    </rPh>
    <rPh sb="12" eb="13">
      <t>ショ</t>
    </rPh>
    <phoneticPr fontId="4"/>
  </si>
  <si>
    <r>
      <rPr>
        <sz val="11"/>
        <color indexed="8"/>
        <rFont val="ＭＳ Ｐゴシック"/>
        <family val="3"/>
        <charset val="128"/>
      </rPr>
      <t>年</t>
    </r>
    <rPh sb="0" eb="1">
      <t>ネン</t>
    </rPh>
    <phoneticPr fontId="4"/>
  </si>
  <si>
    <r>
      <rPr>
        <sz val="11"/>
        <color indexed="8"/>
        <rFont val="ＭＳ Ｐゴシック"/>
        <family val="3"/>
        <charset val="128"/>
      </rPr>
      <t>月</t>
    </r>
    <rPh sb="0" eb="1">
      <t>ツキ</t>
    </rPh>
    <phoneticPr fontId="4"/>
  </si>
  <si>
    <t>申請者名</t>
    <rPh sb="0" eb="3">
      <t>シンセイシャ</t>
    </rPh>
    <rPh sb="3" eb="4">
      <t>メイ</t>
    </rPh>
    <phoneticPr fontId="4"/>
  </si>
  <si>
    <r>
      <rPr>
        <b/>
        <sz val="11"/>
        <color indexed="8"/>
        <rFont val="ＭＳ Ｐゴシック"/>
        <family val="3"/>
        <charset val="128"/>
      </rPr>
      <t>得意先名</t>
    </r>
    <rPh sb="0" eb="3">
      <t>トクイサキ</t>
    </rPh>
    <rPh sb="3" eb="4">
      <t>メイ</t>
    </rPh>
    <phoneticPr fontId="4"/>
  </si>
  <si>
    <r>
      <rPr>
        <sz val="11"/>
        <color indexed="8"/>
        <rFont val="ＭＳ Ｐゴシック"/>
        <family val="3"/>
        <charset val="128"/>
      </rPr>
      <t>品番</t>
    </r>
    <rPh sb="0" eb="2">
      <t>ヒンバン</t>
    </rPh>
    <phoneticPr fontId="4"/>
  </si>
  <si>
    <r>
      <rPr>
        <b/>
        <sz val="11"/>
        <color indexed="8"/>
        <rFont val="ＭＳ Ｐゴシック"/>
        <family val="3"/>
        <charset val="128"/>
      </rPr>
      <t>品名</t>
    </r>
    <rPh sb="0" eb="2">
      <t>ヒンメイ</t>
    </rPh>
    <phoneticPr fontId="4"/>
  </si>
  <si>
    <r>
      <rPr>
        <b/>
        <sz val="12"/>
        <color indexed="8"/>
        <rFont val="ＭＳ Ｐゴシック"/>
        <family val="3"/>
        <charset val="128"/>
      </rPr>
      <t>本社コメント</t>
    </r>
    <rPh sb="0" eb="2">
      <t>ホンシャ</t>
    </rPh>
    <phoneticPr fontId="4"/>
  </si>
  <si>
    <r>
      <rPr>
        <sz val="10"/>
        <color indexed="8"/>
        <rFont val="ＭＳ Ｐゴシック"/>
        <family val="3"/>
        <charset val="128"/>
      </rPr>
      <t>担当バイヤー</t>
    </r>
    <rPh sb="0" eb="2">
      <t>タントウ</t>
    </rPh>
    <phoneticPr fontId="4"/>
  </si>
  <si>
    <r>
      <rPr>
        <sz val="10"/>
        <color indexed="8"/>
        <rFont val="ＭＳ Ｐゴシック"/>
        <family val="3"/>
        <charset val="128"/>
      </rPr>
      <t>生地名</t>
    </r>
    <phoneticPr fontId="4"/>
  </si>
  <si>
    <t>仮見積　①</t>
    <phoneticPr fontId="4"/>
  </si>
  <si>
    <r>
      <rPr>
        <sz val="10"/>
        <color indexed="8"/>
        <rFont val="ＭＳ Ｐゴシック"/>
        <family val="3"/>
        <charset val="128"/>
      </rPr>
      <t>＠￥</t>
    </r>
    <phoneticPr fontId="4"/>
  </si>
  <si>
    <r>
      <t>/</t>
    </r>
    <r>
      <rPr>
        <sz val="10"/>
        <color indexed="8"/>
        <rFont val="ＭＳ Ｐゴシック"/>
        <family val="3"/>
        <charset val="128"/>
      </rPr>
      <t>ｐｃｓ　</t>
    </r>
  </si>
  <si>
    <r>
      <rPr>
        <sz val="10"/>
        <color indexed="8"/>
        <rFont val="ＭＳ Ｐゴシック"/>
        <family val="3"/>
        <charset val="128"/>
      </rPr>
      <t>参考下代￥</t>
    </r>
  </si>
  <si>
    <r>
      <t>/</t>
    </r>
    <r>
      <rPr>
        <sz val="10"/>
        <color indexed="8"/>
        <rFont val="ＭＳ Ｐゴシック"/>
        <family val="3"/>
        <charset val="128"/>
      </rPr>
      <t>ｐｃｓ</t>
    </r>
    <phoneticPr fontId="4"/>
  </si>
  <si>
    <r>
      <rPr>
        <sz val="10"/>
        <color indexed="8"/>
        <rFont val="ＭＳ Ｐゴシック"/>
        <family val="3"/>
        <charset val="128"/>
      </rPr>
      <t>粗利率</t>
    </r>
    <rPh sb="0" eb="1">
      <t>アラ</t>
    </rPh>
    <rPh sb="1" eb="3">
      <t>リリツ</t>
    </rPh>
    <phoneticPr fontId="4"/>
  </si>
  <si>
    <r>
      <rPr>
        <sz val="10"/>
        <color indexed="8"/>
        <rFont val="ＭＳ Ｐゴシック"/>
        <family val="3"/>
        <charset val="128"/>
      </rPr>
      <t>％</t>
    </r>
    <phoneticPr fontId="4"/>
  </si>
  <si>
    <r>
      <rPr>
        <b/>
        <sz val="10"/>
        <color indexed="8"/>
        <rFont val="ＭＳ Ｐゴシック"/>
        <family val="3"/>
        <charset val="128"/>
      </rPr>
      <t>販売計画数</t>
    </r>
    <phoneticPr fontId="4"/>
  </si>
  <si>
    <r>
      <rPr>
        <sz val="10"/>
        <color indexed="8"/>
        <rFont val="ＭＳ Ｐゴシック"/>
        <family val="3"/>
        <charset val="128"/>
      </rPr>
      <t>生地品番</t>
    </r>
    <phoneticPr fontId="4"/>
  </si>
  <si>
    <t>M</t>
    <phoneticPr fontId="4"/>
  </si>
  <si>
    <r>
      <rPr>
        <sz val="10"/>
        <color indexed="8"/>
        <rFont val="ＭＳ Ｐゴシック"/>
        <family val="3"/>
        <charset val="128"/>
      </rPr>
      <t>仮見積　②</t>
    </r>
    <phoneticPr fontId="4"/>
  </si>
  <si>
    <r>
      <rPr>
        <sz val="10"/>
        <color indexed="8"/>
        <rFont val="ＭＳ Ｐゴシック"/>
        <family val="3"/>
        <charset val="128"/>
      </rPr>
      <t>初回本数</t>
    </r>
    <phoneticPr fontId="4"/>
  </si>
  <si>
    <t>希望納期</t>
    <rPh sb="0" eb="2">
      <t>キボウ</t>
    </rPh>
    <phoneticPr fontId="4"/>
  </si>
  <si>
    <r>
      <rPr>
        <sz val="10"/>
        <color indexed="8"/>
        <rFont val="ＭＳ Ｐゴシック"/>
        <family val="3"/>
        <charset val="128"/>
      </rPr>
      <t>カラー展開</t>
    </r>
    <rPh sb="3" eb="5">
      <t>テンカイ</t>
    </rPh>
    <phoneticPr fontId="4"/>
  </si>
  <si>
    <t>販売条件</t>
    <rPh sb="0" eb="2">
      <t>ハンバイ</t>
    </rPh>
    <rPh sb="2" eb="4">
      <t>ジョウケン</t>
    </rPh>
    <phoneticPr fontId="4"/>
  </si>
  <si>
    <t>買取</t>
    <rPh sb="0" eb="2">
      <t>カイトリ</t>
    </rPh>
    <phoneticPr fontId="4"/>
  </si>
  <si>
    <r>
      <rPr>
        <sz val="10"/>
        <color indexed="8"/>
        <rFont val="ＭＳ Ｐゴシック"/>
        <family val="3"/>
        <charset val="128"/>
      </rPr>
      <t>サイズ展開</t>
    </r>
    <rPh sb="3" eb="5">
      <t>テンカイ</t>
    </rPh>
    <phoneticPr fontId="4"/>
  </si>
  <si>
    <r>
      <rPr>
        <sz val="10"/>
        <color indexed="8"/>
        <rFont val="ＭＳ Ｐゴシック"/>
        <family val="3"/>
        <charset val="128"/>
      </rPr>
      <t>上代</t>
    </r>
    <rPh sb="0" eb="2">
      <t>ジョウダイ</t>
    </rPh>
    <phoneticPr fontId="4"/>
  </si>
  <si>
    <r>
      <rPr>
        <sz val="10"/>
        <color indexed="8"/>
        <rFont val="ＭＳ Ｐゴシック"/>
        <family val="3"/>
        <charset val="128"/>
      </rPr>
      <t>股下展開</t>
    </r>
    <rPh sb="0" eb="2">
      <t>マタシタ</t>
    </rPh>
    <rPh sb="2" eb="4">
      <t>テンカイ</t>
    </rPh>
    <phoneticPr fontId="4"/>
  </si>
  <si>
    <t>下代</t>
    <rPh sb="0" eb="1">
      <t>ゲ</t>
    </rPh>
    <rPh sb="1" eb="2">
      <t>ダイ</t>
    </rPh>
    <phoneticPr fontId="4"/>
  </si>
  <si>
    <t>（税抜）</t>
    <rPh sb="2" eb="3">
      <t>ヌ</t>
    </rPh>
    <phoneticPr fontId="4"/>
  </si>
  <si>
    <t xml:space="preserve">ボタン </t>
    <phoneticPr fontId="4"/>
  </si>
  <si>
    <r>
      <t>営業原価</t>
    </r>
    <r>
      <rPr>
        <b/>
        <sz val="10"/>
        <color indexed="10"/>
        <rFont val="ＭＳ Ｐゴシック"/>
        <family val="3"/>
        <charset val="128"/>
      </rPr>
      <t>（仮見積）</t>
    </r>
    <rPh sb="0" eb="2">
      <t>エイギョウ</t>
    </rPh>
    <rPh sb="2" eb="4">
      <t>ゲンカ</t>
    </rPh>
    <rPh sb="5" eb="6">
      <t>カリ</t>
    </rPh>
    <rPh sb="6" eb="8">
      <t>ミツ</t>
    </rPh>
    <phoneticPr fontId="4"/>
  </si>
  <si>
    <t>リベット</t>
    <phoneticPr fontId="4"/>
  </si>
  <si>
    <t>品質表示</t>
    <rPh sb="0" eb="2">
      <t>ヒンシツ</t>
    </rPh>
    <rPh sb="2" eb="4">
      <t>ヒョウジ</t>
    </rPh>
    <phoneticPr fontId="4"/>
  </si>
  <si>
    <t xml:space="preserve"> CONRON印字　          可　    /　　不可</t>
    <rPh sb="7" eb="9">
      <t>インジ</t>
    </rPh>
    <rPh sb="20" eb="21">
      <t>カ</t>
    </rPh>
    <rPh sb="29" eb="31">
      <t>フカ</t>
    </rPh>
    <phoneticPr fontId="4"/>
  </si>
  <si>
    <t>販売物流費</t>
    <rPh sb="0" eb="2">
      <t>ハンバイ</t>
    </rPh>
    <rPh sb="2" eb="4">
      <t>ブツリュウ</t>
    </rPh>
    <rPh sb="4" eb="5">
      <t>ヒ</t>
    </rPh>
    <phoneticPr fontId="4"/>
  </si>
  <si>
    <t>生産工場</t>
    <rPh sb="0" eb="2">
      <t>セイサン</t>
    </rPh>
    <rPh sb="2" eb="4">
      <t>コウジョウ</t>
    </rPh>
    <phoneticPr fontId="4"/>
  </si>
  <si>
    <t>生地検査提出</t>
    <rPh sb="0" eb="2">
      <t>キジ</t>
    </rPh>
    <rPh sb="2" eb="4">
      <t>ケンサ</t>
    </rPh>
    <rPh sb="4" eb="6">
      <t>テイシュツ</t>
    </rPh>
    <phoneticPr fontId="4"/>
  </si>
  <si>
    <t>有　　　　/       無</t>
    <rPh sb="0" eb="1">
      <t>アリ</t>
    </rPh>
    <rPh sb="13" eb="14">
      <t>ナ</t>
    </rPh>
    <phoneticPr fontId="4"/>
  </si>
  <si>
    <t>生地検査結果</t>
    <rPh sb="0" eb="2">
      <t>キジ</t>
    </rPh>
    <rPh sb="2" eb="4">
      <t>ケンサ</t>
    </rPh>
    <rPh sb="4" eb="6">
      <t>ケッカ</t>
    </rPh>
    <phoneticPr fontId="4"/>
  </si>
  <si>
    <r>
      <rPr>
        <sz val="10"/>
        <color indexed="8"/>
        <rFont val="ＭＳ Ｐゴシック"/>
        <family val="3"/>
        <charset val="128"/>
      </rPr>
      <t>生産スケジュール</t>
    </r>
    <rPh sb="0" eb="2">
      <t>セイサン</t>
    </rPh>
    <phoneticPr fontId="4"/>
  </si>
  <si>
    <r>
      <rPr>
        <sz val="10"/>
        <color indexed="8"/>
        <rFont val="ＭＳ Ｐゴシック"/>
        <family val="3"/>
        <charset val="128"/>
      </rPr>
      <t>項目</t>
    </r>
    <rPh sb="0" eb="2">
      <t>コウモク</t>
    </rPh>
    <phoneticPr fontId="4"/>
  </si>
  <si>
    <t>サンプル　　初回必要日</t>
    <rPh sb="6" eb="8">
      <t>ショカイ</t>
    </rPh>
    <rPh sb="8" eb="10">
      <t>ヒツヨウ</t>
    </rPh>
    <rPh sb="10" eb="11">
      <t>ビ</t>
    </rPh>
    <phoneticPr fontId="4"/>
  </si>
  <si>
    <t>生地決定　　生機発注</t>
    <rPh sb="6" eb="7">
      <t>キ</t>
    </rPh>
    <rPh sb="7" eb="8">
      <t>ハタ</t>
    </rPh>
    <rPh sb="8" eb="10">
      <t>ハッチュウ</t>
    </rPh>
    <phoneticPr fontId="4"/>
  </si>
  <si>
    <t>サンプル　　最終商談</t>
    <rPh sb="6" eb="8">
      <t>サイシュウ</t>
    </rPh>
    <rPh sb="8" eb="10">
      <t>ショウダン</t>
    </rPh>
    <phoneticPr fontId="4"/>
  </si>
  <si>
    <t>デザイン　　　仕様決定</t>
    <rPh sb="7" eb="9">
      <t>シヨウ</t>
    </rPh>
    <rPh sb="9" eb="11">
      <t>ケッテイ</t>
    </rPh>
    <phoneticPr fontId="4"/>
  </si>
  <si>
    <t>販売単価　　決定</t>
    <rPh sb="0" eb="2">
      <t>ハンバイ</t>
    </rPh>
    <rPh sb="2" eb="4">
      <t>タンカ</t>
    </rPh>
    <rPh sb="6" eb="8">
      <t>ケッテイ</t>
    </rPh>
    <phoneticPr fontId="4"/>
  </si>
  <si>
    <r>
      <rPr>
        <sz val="10"/>
        <color indexed="8"/>
        <rFont val="ＭＳ Ｐゴシック"/>
        <family val="3"/>
        <charset val="128"/>
      </rPr>
      <t>資材発注</t>
    </r>
    <r>
      <rPr>
        <sz val="8"/>
        <color indexed="8"/>
        <rFont val="ＭＳ Ｐゴシック"/>
        <family val="3"/>
        <charset val="128"/>
      </rPr>
      <t>　　　　　　（メリット関連）</t>
    </r>
    <rPh sb="0" eb="2">
      <t>シザイ</t>
    </rPh>
    <rPh sb="2" eb="4">
      <t>ハッチュウ</t>
    </rPh>
    <rPh sb="15" eb="17">
      <t>カンレン</t>
    </rPh>
    <phoneticPr fontId="4"/>
  </si>
  <si>
    <r>
      <rPr>
        <sz val="10"/>
        <color indexed="8"/>
        <rFont val="ＭＳ Ｐゴシック"/>
        <family val="3"/>
        <charset val="128"/>
      </rPr>
      <t>カラー別　　　　　　　　生地発注</t>
    </r>
    <rPh sb="3" eb="4">
      <t>ベツ</t>
    </rPh>
    <rPh sb="12" eb="14">
      <t>キジ</t>
    </rPh>
    <rPh sb="14" eb="16">
      <t>ハッチュウ</t>
    </rPh>
    <phoneticPr fontId="4"/>
  </si>
  <si>
    <r>
      <t xml:space="preserve">SKU       </t>
    </r>
    <r>
      <rPr>
        <b/>
        <sz val="10"/>
        <color indexed="8"/>
        <rFont val="ＭＳ Ｐゴシック"/>
        <family val="3"/>
        <charset val="128"/>
      </rPr>
      <t>　　　　　　　　</t>
    </r>
    <r>
      <rPr>
        <b/>
        <sz val="10"/>
        <color indexed="8"/>
        <rFont val="Arial"/>
        <family val="2"/>
      </rPr>
      <t xml:space="preserve">     </t>
    </r>
    <r>
      <rPr>
        <b/>
        <sz val="10"/>
        <color indexed="8"/>
        <rFont val="ＭＳ Ｐゴシック"/>
        <family val="3"/>
        <charset val="128"/>
      </rPr>
      <t>製品発注</t>
    </r>
    <rPh sb="23" eb="25">
      <t>セイヒン</t>
    </rPh>
    <rPh sb="25" eb="27">
      <t>ハッチュウ</t>
    </rPh>
    <phoneticPr fontId="4"/>
  </si>
  <si>
    <t>納期　　　　　　予定日</t>
    <rPh sb="0" eb="2">
      <t>ノウキ</t>
    </rPh>
    <rPh sb="8" eb="10">
      <t>ヨテイ</t>
    </rPh>
    <rPh sb="10" eb="11">
      <t>ビ</t>
    </rPh>
    <phoneticPr fontId="4"/>
  </si>
  <si>
    <t>予定日</t>
    <rPh sb="0" eb="2">
      <t>ヨテイ</t>
    </rPh>
    <rPh sb="2" eb="3">
      <t>ビ</t>
    </rPh>
    <phoneticPr fontId="4"/>
  </si>
  <si>
    <t>実施日</t>
    <rPh sb="0" eb="3">
      <t>ジッシビ</t>
    </rPh>
    <phoneticPr fontId="4"/>
  </si>
  <si>
    <r>
      <rPr>
        <sz val="10"/>
        <color indexed="8"/>
        <rFont val="ＭＳ Ｐゴシック"/>
        <family val="3"/>
        <charset val="128"/>
      </rPr>
      <t>商談日</t>
    </r>
    <rPh sb="0" eb="2">
      <t>ショウダン</t>
    </rPh>
    <rPh sb="2" eb="3">
      <t>ビ</t>
    </rPh>
    <phoneticPr fontId="4"/>
  </si>
  <si>
    <r>
      <rPr>
        <sz val="11"/>
        <color indexed="8"/>
        <rFont val="ＭＳ Ｐゴシック"/>
        <family val="3"/>
        <charset val="128"/>
      </rPr>
      <t>商談内容</t>
    </r>
    <rPh sb="0" eb="2">
      <t>ショウダン</t>
    </rPh>
    <rPh sb="2" eb="4">
      <t>ナイヨウ</t>
    </rPh>
    <phoneticPr fontId="4"/>
  </si>
  <si>
    <t>承認欄</t>
    <rPh sb="0" eb="2">
      <t>ショウニン</t>
    </rPh>
    <rPh sb="2" eb="3">
      <t>ラン</t>
    </rPh>
    <phoneticPr fontId="4"/>
  </si>
  <si>
    <t>営業部長</t>
    <rPh sb="0" eb="2">
      <t>エイギョウ</t>
    </rPh>
    <rPh sb="2" eb="4">
      <t>ブチョウ</t>
    </rPh>
    <phoneticPr fontId="4"/>
  </si>
  <si>
    <t>企画部長</t>
    <rPh sb="0" eb="2">
      <t>キカク</t>
    </rPh>
    <rPh sb="2" eb="4">
      <t>ブチョウ</t>
    </rPh>
    <phoneticPr fontId="4"/>
  </si>
  <si>
    <t>生産部長</t>
    <rPh sb="0" eb="2">
      <t>セイサン</t>
    </rPh>
    <rPh sb="2" eb="4">
      <t>ブチョウ</t>
    </rPh>
    <phoneticPr fontId="4"/>
  </si>
  <si>
    <t>サンプル生産</t>
    <rPh sb="4" eb="6">
      <t>セイサン</t>
    </rPh>
    <phoneticPr fontId="4"/>
  </si>
  <si>
    <t>本生産</t>
    <rPh sb="0" eb="1">
      <t>ホン</t>
    </rPh>
    <rPh sb="1" eb="3">
      <t>セイサン</t>
    </rPh>
    <phoneticPr fontId="4"/>
  </si>
  <si>
    <t>企画担当者</t>
    <rPh sb="0" eb="2">
      <t>キカク</t>
    </rPh>
    <rPh sb="2" eb="5">
      <t>タントウシャ</t>
    </rPh>
    <phoneticPr fontId="4"/>
  </si>
  <si>
    <t>社長</t>
    <rPh sb="0" eb="2">
      <t>シャチョウ</t>
    </rPh>
    <phoneticPr fontId="4"/>
  </si>
  <si>
    <r>
      <rPr>
        <sz val="10"/>
        <color indexed="8"/>
        <rFont val="ＭＳ Ｐゴシック"/>
        <family val="3"/>
        <charset val="128"/>
      </rPr>
      <t>可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不可</t>
    </r>
    <rPh sb="0" eb="1">
      <t>カ</t>
    </rPh>
    <rPh sb="4" eb="6">
      <t>フカ</t>
    </rPh>
    <phoneticPr fontId="4"/>
  </si>
  <si>
    <t>サイズ</t>
  </si>
  <si>
    <t>要　尺</t>
  </si>
  <si>
    <t>洗い加工</t>
  </si>
  <si>
    <t>ネーム</t>
  </si>
  <si>
    <t>備考</t>
  </si>
  <si>
    <t>円</t>
  </si>
  <si>
    <t>合計</t>
  </si>
  <si>
    <t>合格（2025年　　月　　日）　　/　　　　不合格      /未検査</t>
    <rPh sb="0" eb="2">
      <t>ゴウカク</t>
    </rPh>
    <rPh sb="7" eb="8">
      <t>ネン</t>
    </rPh>
    <rPh sb="10" eb="11">
      <t>ガツ</t>
    </rPh>
    <rPh sb="13" eb="14">
      <t>ヒ</t>
    </rPh>
    <rPh sb="22" eb="25">
      <t>フゴウカク</t>
    </rPh>
    <rPh sb="32" eb="35">
      <t>ミケンサ</t>
    </rPh>
    <phoneticPr fontId="4"/>
  </si>
  <si>
    <t>垣井</t>
    <rPh sb="0" eb="1">
      <t>カキ</t>
    </rPh>
    <rPh sb="1" eb="2">
      <t>イ</t>
    </rPh>
    <phoneticPr fontId="4"/>
  </si>
  <si>
    <t>ナカノインターナショナル</t>
  </si>
  <si>
    <t>品　番</t>
  </si>
  <si>
    <t>￥単価</t>
  </si>
  <si>
    <t>$　単価</t>
  </si>
  <si>
    <t>品　名</t>
  </si>
  <si>
    <t>生　地</t>
  </si>
  <si>
    <t>原　反　＃</t>
  </si>
  <si>
    <t>生　地　幅</t>
  </si>
  <si>
    <t>cm</t>
  </si>
  <si>
    <t>y 　/　＠</t>
  </si>
  <si>
    <t>$</t>
  </si>
  <si>
    <t>m　/　＠</t>
  </si>
  <si>
    <t>スレーキ</t>
  </si>
  <si>
    <t>X</t>
  </si>
  <si>
    <t>ファスナー</t>
  </si>
  <si>
    <t>釦　類</t>
  </si>
  <si>
    <t>付　属　類</t>
  </si>
  <si>
    <t>雑　費</t>
  </si>
  <si>
    <t>ケース代</t>
  </si>
  <si>
    <t>袋 代</t>
  </si>
  <si>
    <t>加　工　賃</t>
  </si>
  <si>
    <t>経　費</t>
  </si>
  <si>
    <t>糸　代</t>
  </si>
  <si>
    <t>陸送賃</t>
  </si>
  <si>
    <t>チッタゴン～イショルディ</t>
  </si>
  <si>
    <t>イショルディ～チッタゴン</t>
  </si>
  <si>
    <t>海　運　賃</t>
  </si>
  <si>
    <t>バングラ～日本</t>
  </si>
  <si>
    <t>1$</t>
  </si>
  <si>
    <t xml:space="preserve">   原価単価＄　</t>
  </si>
  <si>
    <t>日本付属単価</t>
  </si>
  <si>
    <t>決定ラベル</t>
    <rPh sb="0" eb="2">
      <t>ケッテイ</t>
    </rPh>
    <phoneticPr fontId="37"/>
  </si>
  <si>
    <t>仕上げ</t>
    <phoneticPr fontId="4"/>
  </si>
  <si>
    <t>ヤンキーたたみ　左前出し　2つ折り</t>
    <phoneticPr fontId="4"/>
  </si>
  <si>
    <t>ロットNo.BO-</t>
  </si>
  <si>
    <t>出荷日</t>
  </si>
  <si>
    <t>A832597</t>
  </si>
  <si>
    <t>S-LL</t>
  </si>
  <si>
    <t>中国</t>
    <rPh sb="0" eb="2">
      <t>チュウゴク</t>
    </rPh>
    <phoneticPr fontId="2"/>
  </si>
  <si>
    <t>FS2954TD-7</t>
    <phoneticPr fontId="4"/>
  </si>
  <si>
    <t>＠/m</t>
    <phoneticPr fontId="2"/>
  </si>
  <si>
    <t>ベルト芯</t>
    <rPh sb="3" eb="4">
      <t>シン</t>
    </rPh>
    <phoneticPr fontId="2"/>
  </si>
  <si>
    <t>芯</t>
    <rPh sb="0" eb="1">
      <t>シン</t>
    </rPh>
    <phoneticPr fontId="2"/>
  </si>
  <si>
    <t>ゴム</t>
    <phoneticPr fontId="2"/>
  </si>
  <si>
    <t>刺繍</t>
    <phoneticPr fontId="2"/>
  </si>
  <si>
    <t>CFC-36 DAE</t>
  </si>
  <si>
    <t>BN-TB27MJ</t>
  </si>
  <si>
    <t>ラベル</t>
  </si>
  <si>
    <t>GP765B</t>
    <phoneticPr fontId="4"/>
  </si>
  <si>
    <t>YR1406B</t>
    <phoneticPr fontId="4"/>
  </si>
  <si>
    <t>サテンテープ</t>
    <phoneticPr fontId="4"/>
  </si>
  <si>
    <t>NO5</t>
    <phoneticPr fontId="4"/>
  </si>
  <si>
    <t>UX-7</t>
    <phoneticPr fontId="4"/>
  </si>
  <si>
    <t>日本原価</t>
    <rPh sb="0" eb="2">
      <t>ニホン</t>
    </rPh>
    <rPh sb="2" eb="4">
      <t>ゲンカ</t>
    </rPh>
    <phoneticPr fontId="2"/>
  </si>
  <si>
    <t>＝</t>
    <phoneticPr fontId="2"/>
  </si>
  <si>
    <t>品番</t>
    <rPh sb="0" eb="2">
      <t>ヒンバン</t>
    </rPh>
    <phoneticPr fontId="2"/>
  </si>
  <si>
    <t>品名</t>
    <rPh sb="0" eb="2">
      <t>ヒンメイ</t>
    </rPh>
    <phoneticPr fontId="2"/>
  </si>
  <si>
    <t>裏起毛ハタラク黒タイトスキニー70丈</t>
  </si>
  <si>
    <t>上代</t>
    <rPh sb="0" eb="2">
      <t>ジョウダイ</t>
    </rPh>
    <phoneticPr fontId="2"/>
  </si>
  <si>
    <t>インターナショナル</t>
    <phoneticPr fontId="2"/>
  </si>
  <si>
    <t>コーポレーション</t>
    <phoneticPr fontId="2"/>
  </si>
  <si>
    <t>(株)ナカノ</t>
    <rPh sb="1" eb="2">
      <t>カブ</t>
    </rPh>
    <phoneticPr fontId="2"/>
  </si>
  <si>
    <t>営業原価8%</t>
    <rPh sb="0" eb="4">
      <t>エイギョウゲンカ</t>
    </rPh>
    <phoneticPr fontId="2"/>
  </si>
  <si>
    <t>販売値</t>
    <rPh sb="0" eb="3">
      <t>ハンバイネ</t>
    </rPh>
    <phoneticPr fontId="2"/>
  </si>
  <si>
    <t>粗利率</t>
    <rPh sb="0" eb="2">
      <t>アラリ</t>
    </rPh>
    <rPh sb="2" eb="3">
      <t>リツ</t>
    </rPh>
    <phoneticPr fontId="2"/>
  </si>
  <si>
    <t>NO.05248L</t>
    <phoneticPr fontId="4"/>
  </si>
  <si>
    <r>
      <rPr>
        <sz val="11"/>
        <color indexed="8"/>
        <rFont val="ＭＳ Ｐゴシック"/>
        <family val="3"/>
        <charset val="128"/>
      </rPr>
      <t>日</t>
    </r>
    <rPh sb="0" eb="1">
      <t>ヒ</t>
    </rPh>
    <phoneticPr fontId="4"/>
  </si>
  <si>
    <t>CL＆C</t>
    <phoneticPr fontId="4"/>
  </si>
  <si>
    <t>829506(B)/829507(B)</t>
    <phoneticPr fontId="4"/>
  </si>
  <si>
    <r>
      <t>冷感ハタラク黒ストレート</t>
    </r>
    <r>
      <rPr>
        <b/>
        <sz val="11"/>
        <color indexed="10"/>
        <rFont val="ＭＳ Ｐゴシック"/>
        <family val="3"/>
        <charset val="128"/>
      </rPr>
      <t>（前開き）</t>
    </r>
    <rPh sb="0" eb="2">
      <t>レイカン</t>
    </rPh>
    <rPh sb="6" eb="7">
      <t>クロ</t>
    </rPh>
    <rPh sb="13" eb="14">
      <t>マエ</t>
    </rPh>
    <rPh sb="14" eb="15">
      <t>ビラ</t>
    </rPh>
    <phoneticPr fontId="4"/>
  </si>
  <si>
    <t>冷感ハタラク黒</t>
    <rPh sb="0" eb="2">
      <t>レイカン</t>
    </rPh>
    <rPh sb="6" eb="7">
      <t>クロ</t>
    </rPh>
    <phoneticPr fontId="4"/>
  </si>
  <si>
    <t>ブラック</t>
    <phoneticPr fontId="4"/>
  </si>
  <si>
    <t>LT/6か月</t>
    <rPh sb="5" eb="6">
      <t>ゲツ</t>
    </rPh>
    <phoneticPr fontId="4"/>
  </si>
  <si>
    <t xml:space="preserve">61 64 67 70 73 76 </t>
    <phoneticPr fontId="4"/>
  </si>
  <si>
    <t>68/72</t>
    <phoneticPr fontId="4"/>
  </si>
  <si>
    <t>No. BN-TB27 MJ BSP  YKK・モリト　　単価       ＄0.0541 /1個　　　　使用個数/1個</t>
    <rPh sb="29" eb="31">
      <t>タンカ</t>
    </rPh>
    <rPh sb="48" eb="49">
      <t>コ</t>
    </rPh>
    <rPh sb="53" eb="55">
      <t>シヨウ</t>
    </rPh>
    <rPh sb="55" eb="57">
      <t>コスウ</t>
    </rPh>
    <rPh sb="59" eb="60">
      <t>コ</t>
    </rPh>
    <phoneticPr fontId="4"/>
  </si>
  <si>
    <t>No.  YKK・モリト　　単価       円/1個　　　　使用個数/ 個</t>
    <rPh sb="14" eb="16">
      <t>タンカ</t>
    </rPh>
    <rPh sb="23" eb="24">
      <t>エン</t>
    </rPh>
    <rPh sb="26" eb="27">
      <t>コ</t>
    </rPh>
    <rPh sb="31" eb="33">
      <t>シヨウ</t>
    </rPh>
    <rPh sb="33" eb="35">
      <t>コスウ</t>
    </rPh>
    <rPh sb="37" eb="38">
      <t>コ</t>
    </rPh>
    <phoneticPr fontId="4"/>
  </si>
  <si>
    <t>BGN</t>
    <phoneticPr fontId="4"/>
  </si>
  <si>
    <t>粗利率</t>
    <rPh sb="0" eb="2">
      <t>アラリ</t>
    </rPh>
    <rPh sb="2" eb="3">
      <t>リツ</t>
    </rPh>
    <phoneticPr fontId="4"/>
  </si>
  <si>
    <t>25%以上</t>
    <rPh sb="3" eb="5">
      <t>イジョウ</t>
    </rPh>
    <phoneticPr fontId="4"/>
  </si>
  <si>
    <t>CCR　　　/　　　BGN</t>
    <phoneticPr fontId="4"/>
  </si>
  <si>
    <t>不要</t>
    <rPh sb="0" eb="2">
      <t>フヨウ</t>
    </rPh>
    <phoneticPr fontId="4"/>
  </si>
  <si>
    <t>・LD295068/LD295072品番の一般ラベル版</t>
    <rPh sb="18" eb="20">
      <t>ヒンバン</t>
    </rPh>
    <rPh sb="21" eb="23">
      <t>イッパン</t>
    </rPh>
    <rPh sb="26" eb="27">
      <t>バン</t>
    </rPh>
    <phoneticPr fontId="4"/>
  </si>
  <si>
    <r>
      <rPr>
        <sz val="10"/>
        <color indexed="8"/>
        <rFont val="ＭＳ Ｐゴシック"/>
        <family val="3"/>
        <charset val="128"/>
      </rPr>
      <t>横溝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三岳</t>
    </r>
    <rPh sb="0" eb="2">
      <t>ヨコミゾ</t>
    </rPh>
    <rPh sb="5" eb="7">
      <t>ミタケ</t>
    </rPh>
    <phoneticPr fontId="4"/>
  </si>
  <si>
    <t>※股下68cm</t>
    <rPh sb="1" eb="2">
      <t>マタ</t>
    </rPh>
    <rPh sb="2" eb="3">
      <t>シタ</t>
    </rPh>
    <phoneticPr fontId="3"/>
  </si>
  <si>
    <t>※股下72cm</t>
    <rPh sb="1" eb="2">
      <t>マタ</t>
    </rPh>
    <rPh sb="2" eb="3">
      <t>シタ</t>
    </rPh>
    <phoneticPr fontId="3"/>
  </si>
  <si>
    <t>ラベル付位置(810587品番と同じ)</t>
    <rPh sb="3" eb="6">
      <t>ツケイチ</t>
    </rPh>
    <rPh sb="13" eb="15">
      <t>ヒンバン</t>
    </rPh>
    <rPh sb="16" eb="17">
      <t>オナ</t>
    </rPh>
    <phoneticPr fontId="4"/>
  </si>
  <si>
    <t>ラベル決定、ラベル付位置追加</t>
    <rPh sb="3" eb="5">
      <t>ケッテイ</t>
    </rPh>
    <rPh sb="9" eb="12">
      <t>ツケイチ</t>
    </rPh>
    <rPh sb="12" eb="14">
      <t>ツイカ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</si>
</sst>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176" formatCode="&quot;¥&quot;#,##0_);[Red]\(&quot;¥&quot;#,##0\)"/>
    <numFmt numFmtId="177" formatCode="0.0%"/>
    <numFmt numFmtId="178" formatCode="m/d;@"/>
    <numFmt numFmtId="179" formatCode="m&quot;月&quot;d&quot;日&quot;;@"/>
    <numFmt numFmtId="180" formatCode="&quot;¥&quot;#,##0.0;&quot;¥&quot;\-#,##0.0"/>
  </numFmts>
  <fonts count="6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8"/>
      <color indexed="8"/>
      <name val="Arial"/>
      <family val="2"/>
    </font>
    <font>
      <b/>
      <sz val="18"/>
      <color indexed="8"/>
      <name val="ＭＳ Ｐゴシック"/>
      <family val="3"/>
      <charset val="128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ＭＳ Ｐゴシック"/>
      <family val="3"/>
      <charset val="128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10"/>
      <name val="Arial"/>
      <family val="2"/>
    </font>
    <font>
      <sz val="10"/>
      <color theme="1"/>
      <name val="游ゴシック"/>
      <family val="3"/>
      <charset val="128"/>
      <scheme val="minor"/>
    </font>
    <font>
      <b/>
      <sz val="10"/>
      <color indexed="10"/>
      <name val="ＭＳ Ｐゴシック"/>
      <family val="3"/>
      <charset val="128"/>
    </font>
    <font>
      <b/>
      <sz val="10"/>
      <color rgb="FFFF0000"/>
      <name val="游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0"/>
      <name val="ＭＳ Ｐゴシック"/>
      <family val="3"/>
      <charset val="128"/>
    </font>
    <font>
      <sz val="14"/>
      <color theme="1"/>
      <name val="Arial"/>
      <family val="2"/>
    </font>
    <font>
      <sz val="10"/>
      <color indexed="8"/>
      <name val="Arial"/>
      <family val="2"/>
    </font>
    <font>
      <sz val="6"/>
      <name val="游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1"/>
      <name val="ＭＳ Ｐゴシック"/>
      <family val="2"/>
    </font>
    <font>
      <sz val="14"/>
      <color theme="1"/>
      <name val="游ゴシック"/>
      <family val="3"/>
      <charset val="128"/>
      <scheme val="minor"/>
    </font>
    <font>
      <sz val="14"/>
      <color indexed="8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indexed="10"/>
      <name val="ＭＳ Ｐ明朝"/>
      <family val="1"/>
      <charset val="128"/>
    </font>
    <font>
      <sz val="12"/>
      <color indexed="8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sz val="14"/>
      <color indexed="8"/>
      <name val="ＭＳ Ｐ明朝"/>
      <family val="1"/>
      <charset val="128"/>
    </font>
    <font>
      <sz val="14"/>
      <color indexed="10"/>
      <name val="ＭＳ Ｐ明朝"/>
      <family val="1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7">
    <xf numFmtId="0" fontId="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5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25">
    <xf numFmtId="0" fontId="0" fillId="0" borderId="0" xfId="0">
      <alignment vertical="center"/>
    </xf>
    <xf numFmtId="0" fontId="9" fillId="0" borderId="0" xfId="4" applyFont="1" applyAlignment="1">
      <alignment horizontal="center" shrinkToFit="1"/>
    </xf>
    <xf numFmtId="0" fontId="11" fillId="0" borderId="1" xfId="4" applyFont="1" applyBorder="1" applyAlignment="1">
      <alignment horizontal="center" shrinkToFit="1"/>
    </xf>
    <xf numFmtId="0" fontId="13" fillId="0" borderId="0" xfId="4" applyFont="1" applyAlignment="1">
      <alignment horizontal="center" shrinkToFit="1"/>
    </xf>
    <xf numFmtId="0" fontId="11" fillId="0" borderId="0" xfId="4" applyFont="1" applyAlignment="1">
      <alignment vertical="center" shrinkToFit="1"/>
    </xf>
    <xf numFmtId="0" fontId="14" fillId="0" borderId="0" xfId="4" applyFont="1" applyAlignment="1">
      <alignment horizontal="left" vertical="top" shrinkToFit="1"/>
    </xf>
    <xf numFmtId="0" fontId="15" fillId="2" borderId="3" xfId="4" applyFont="1" applyFill="1" applyBorder="1" applyAlignment="1">
      <alignment vertical="center" shrinkToFit="1"/>
    </xf>
    <xf numFmtId="0" fontId="17" fillId="0" borderId="0" xfId="4" applyFont="1" applyAlignment="1">
      <alignment horizontal="center" vertical="center" shrinkToFit="1"/>
    </xf>
    <xf numFmtId="0" fontId="13" fillId="0" borderId="0" xfId="4" applyFont="1" applyAlignment="1">
      <alignment shrinkToFit="1"/>
    </xf>
    <xf numFmtId="0" fontId="20" fillId="0" borderId="2" xfId="4" applyFont="1" applyBorder="1" applyAlignment="1">
      <alignment horizontal="center" vertical="center" shrinkToFit="1"/>
    </xf>
    <xf numFmtId="49" fontId="13" fillId="0" borderId="6" xfId="4" applyNumberFormat="1" applyFont="1" applyBorder="1" applyAlignment="1">
      <alignment horizontal="center" vertical="center" shrinkToFit="1"/>
    </xf>
    <xf numFmtId="0" fontId="21" fillId="0" borderId="6" xfId="4" applyFont="1" applyBorder="1" applyAlignment="1">
      <alignment horizontal="center" vertical="center" shrinkToFit="1"/>
    </xf>
    <xf numFmtId="0" fontId="13" fillId="0" borderId="6" xfId="4" applyFont="1" applyBorder="1" applyAlignment="1">
      <alignment vertical="center" shrinkToFit="1"/>
    </xf>
    <xf numFmtId="0" fontId="13" fillId="0" borderId="2" xfId="4" applyFont="1" applyBorder="1" applyAlignment="1">
      <alignment horizontal="center" vertical="center" shrinkToFit="1"/>
    </xf>
    <xf numFmtId="0" fontId="13" fillId="0" borderId="7" xfId="4" applyFont="1" applyBorder="1" applyAlignment="1">
      <alignment vertical="center" shrinkToFit="1"/>
    </xf>
    <xf numFmtId="0" fontId="13" fillId="0" borderId="6" xfId="4" applyFont="1" applyBorder="1" applyAlignment="1">
      <alignment horizontal="center" vertical="center" shrinkToFit="1"/>
    </xf>
    <xf numFmtId="14" fontId="13" fillId="0" borderId="10" xfId="4" applyNumberFormat="1" applyFont="1" applyBorder="1" applyAlignment="1">
      <alignment horizontal="center" shrinkToFit="1"/>
    </xf>
    <xf numFmtId="14" fontId="20" fillId="0" borderId="3" xfId="1" applyNumberFormat="1" applyFont="1" applyBorder="1" applyAlignment="1">
      <alignment horizontal="center" vertical="center" shrinkToFit="1"/>
    </xf>
    <xf numFmtId="176" fontId="26" fillId="0" borderId="20" xfId="1" applyNumberFormat="1" applyFont="1" applyBorder="1" applyAlignment="1">
      <alignment horizontal="right" vertical="center"/>
    </xf>
    <xf numFmtId="0" fontId="26" fillId="0" borderId="20" xfId="1" applyFont="1" applyBorder="1" applyAlignment="1">
      <alignment horizontal="right" vertical="center"/>
    </xf>
    <xf numFmtId="177" fontId="26" fillId="0" borderId="20" xfId="1" applyNumberFormat="1" applyFont="1" applyBorder="1" applyAlignment="1">
      <alignment horizontal="right" vertical="center"/>
    </xf>
    <xf numFmtId="0" fontId="28" fillId="0" borderId="20" xfId="1" applyFont="1" applyBorder="1" applyAlignment="1">
      <alignment horizontal="right" vertical="center" shrinkToFit="1"/>
    </xf>
    <xf numFmtId="0" fontId="13" fillId="0" borderId="0" xfId="4" applyFont="1" applyAlignment="1">
      <alignment horizontal="center" vertical="center" wrapText="1" shrinkToFit="1"/>
    </xf>
    <xf numFmtId="0" fontId="11" fillId="0" borderId="0" xfId="1" applyFont="1">
      <alignment vertical="center"/>
    </xf>
    <xf numFmtId="0" fontId="33" fillId="0" borderId="5" xfId="4" applyFont="1" applyBorder="1" applyAlignment="1">
      <alignment horizontal="center" vertical="center" wrapText="1" shrinkToFit="1"/>
    </xf>
    <xf numFmtId="178" fontId="13" fillId="0" borderId="3" xfId="4" applyNumberFormat="1" applyFont="1" applyBorder="1" applyAlignment="1">
      <alignment horizontal="center" vertical="center" shrinkToFit="1"/>
    </xf>
    <xf numFmtId="178" fontId="13" fillId="0" borderId="5" xfId="4" applyNumberFormat="1" applyFont="1" applyBorder="1" applyAlignment="1">
      <alignment horizontal="center" vertical="center" shrinkToFit="1"/>
    </xf>
    <xf numFmtId="0" fontId="13" fillId="2" borderId="10" xfId="4" applyFont="1" applyFill="1" applyBorder="1" applyAlignment="1">
      <alignment horizontal="center" vertical="center" shrinkToFit="1"/>
    </xf>
    <xf numFmtId="0" fontId="11" fillId="2" borderId="10" xfId="4" applyFont="1" applyFill="1" applyBorder="1">
      <alignment vertical="center"/>
    </xf>
    <xf numFmtId="0" fontId="11" fillId="2" borderId="23" xfId="4" applyFont="1" applyFill="1" applyBorder="1">
      <alignment vertical="center"/>
    </xf>
    <xf numFmtId="0" fontId="11" fillId="2" borderId="20" xfId="4" applyFont="1" applyFill="1" applyBorder="1">
      <alignment vertical="center"/>
    </xf>
    <xf numFmtId="0" fontId="35" fillId="0" borderId="0" xfId="4" applyFont="1" applyAlignment="1">
      <alignment shrinkToFit="1"/>
    </xf>
    <xf numFmtId="178" fontId="13" fillId="0" borderId="26" xfId="4" applyNumberFormat="1" applyFont="1" applyBorder="1" applyAlignment="1">
      <alignment horizontal="center" vertical="center" shrinkToFit="1"/>
    </xf>
    <xf numFmtId="0" fontId="35" fillId="0" borderId="0" xfId="4" applyFont="1" applyAlignment="1"/>
    <xf numFmtId="0" fontId="11" fillId="0" borderId="0" xfId="4" applyFont="1">
      <alignment vertical="center"/>
    </xf>
    <xf numFmtId="0" fontId="13" fillId="0" borderId="0" xfId="4" applyFont="1" applyAlignment="1">
      <alignment horizontal="center" vertical="center"/>
    </xf>
    <xf numFmtId="178" fontId="13" fillId="0" borderId="27" xfId="4" applyNumberFormat="1" applyFont="1" applyBorder="1" applyAlignment="1">
      <alignment horizontal="center" vertical="center" shrinkToFit="1"/>
    </xf>
    <xf numFmtId="0" fontId="13" fillId="0" borderId="0" xfId="4" applyFont="1" applyAlignment="1">
      <alignment horizontal="center" vertical="center" shrinkToFit="1"/>
    </xf>
    <xf numFmtId="0" fontId="20" fillId="2" borderId="3" xfId="4" applyFont="1" applyFill="1" applyBorder="1" applyAlignment="1">
      <alignment horizontal="center" vertical="center" shrinkToFit="1"/>
    </xf>
    <xf numFmtId="0" fontId="33" fillId="0" borderId="0" xfId="4" applyFont="1" applyAlignment="1">
      <alignment horizontal="center" vertical="center" wrapText="1" shrinkToFit="1"/>
    </xf>
    <xf numFmtId="0" fontId="20" fillId="0" borderId="0" xfId="4" applyFont="1" applyAlignment="1">
      <alignment horizontal="center" vertical="center" shrinkToFit="1"/>
    </xf>
    <xf numFmtId="178" fontId="20" fillId="0" borderId="3" xfId="4" applyNumberFormat="1" applyFont="1" applyBorder="1" applyAlignment="1">
      <alignment horizontal="center" vertical="center" shrinkToFit="1"/>
    </xf>
    <xf numFmtId="7" fontId="43" fillId="0" borderId="0" xfId="1" applyNumberFormat="1" applyFont="1">
      <alignment vertical="center"/>
    </xf>
    <xf numFmtId="0" fontId="45" fillId="0" borderId="2" xfId="1" applyFont="1" applyBorder="1" applyAlignment="1">
      <alignment horizontal="center" vertical="center" shrinkToFit="1"/>
    </xf>
    <xf numFmtId="0" fontId="45" fillId="0" borderId="10" xfId="1" applyFont="1" applyBorder="1" applyAlignment="1">
      <alignment horizontal="center" vertical="center" shrinkToFit="1"/>
    </xf>
    <xf numFmtId="0" fontId="45" fillId="0" borderId="21" xfId="1" applyFont="1" applyBorder="1" applyAlignment="1">
      <alignment vertical="center" shrinkToFit="1"/>
    </xf>
    <xf numFmtId="0" fontId="6" fillId="0" borderId="0" xfId="1">
      <alignment vertical="center"/>
    </xf>
    <xf numFmtId="178" fontId="13" fillId="3" borderId="26" xfId="4" applyNumberFormat="1" applyFont="1" applyFill="1" applyBorder="1" applyAlignment="1">
      <alignment horizontal="center" vertical="center" shrinkToFit="1"/>
    </xf>
    <xf numFmtId="0" fontId="6" fillId="0" borderId="47" xfId="1" applyBorder="1">
      <alignment vertical="center"/>
    </xf>
    <xf numFmtId="0" fontId="6" fillId="0" borderId="48" xfId="1" applyBorder="1">
      <alignment vertical="center"/>
    </xf>
    <xf numFmtId="0" fontId="6" fillId="0" borderId="49" xfId="1" applyBorder="1">
      <alignment vertical="center"/>
    </xf>
    <xf numFmtId="0" fontId="6" fillId="0" borderId="50" xfId="1" applyBorder="1">
      <alignment vertical="center"/>
    </xf>
    <xf numFmtId="0" fontId="6" fillId="0" borderId="51" xfId="1" applyBorder="1">
      <alignment vertical="center"/>
    </xf>
    <xf numFmtId="0" fontId="6" fillId="0" borderId="52" xfId="1" applyBorder="1">
      <alignment vertical="center"/>
    </xf>
    <xf numFmtId="0" fontId="6" fillId="0" borderId="54" xfId="1" applyBorder="1">
      <alignment vertical="center"/>
    </xf>
    <xf numFmtId="0" fontId="6" fillId="0" borderId="53" xfId="1" applyBorder="1">
      <alignment vertical="center"/>
    </xf>
    <xf numFmtId="0" fontId="53" fillId="0" borderId="0" xfId="14">
      <alignment vertical="center"/>
    </xf>
    <xf numFmtId="0" fontId="53" fillId="0" borderId="0" xfId="14" applyAlignment="1">
      <alignment horizontal="center" vertical="center"/>
    </xf>
    <xf numFmtId="0" fontId="54" fillId="0" borderId="0" xfId="14" applyFont="1">
      <alignment vertical="center"/>
    </xf>
    <xf numFmtId="0" fontId="34" fillId="0" borderId="0" xfId="14" applyFont="1">
      <alignment vertical="center"/>
    </xf>
    <xf numFmtId="0" fontId="53" fillId="0" borderId="50" xfId="14" applyBorder="1">
      <alignment vertical="center"/>
    </xf>
    <xf numFmtId="0" fontId="55" fillId="0" borderId="0" xfId="14" applyFont="1">
      <alignment vertical="center"/>
    </xf>
    <xf numFmtId="0" fontId="56" fillId="0" borderId="50" xfId="14" applyFont="1" applyBorder="1">
      <alignment vertical="center"/>
    </xf>
    <xf numFmtId="0" fontId="56" fillId="0" borderId="0" xfId="14" applyFont="1">
      <alignment vertical="center"/>
    </xf>
    <xf numFmtId="0" fontId="4" fillId="0" borderId="50" xfId="14" applyFont="1" applyBorder="1">
      <alignment vertical="center"/>
    </xf>
    <xf numFmtId="0" fontId="4" fillId="0" borderId="0" xfId="14" applyFont="1">
      <alignment vertical="center"/>
    </xf>
    <xf numFmtId="0" fontId="55" fillId="0" borderId="50" xfId="14" applyFont="1" applyBorder="1">
      <alignment vertical="center"/>
    </xf>
    <xf numFmtId="0" fontId="34" fillId="0" borderId="50" xfId="14" applyFont="1" applyBorder="1">
      <alignment vertical="center"/>
    </xf>
    <xf numFmtId="0" fontId="53" fillId="0" borderId="52" xfId="14" applyBorder="1">
      <alignment vertical="center"/>
    </xf>
    <xf numFmtId="0" fontId="53" fillId="0" borderId="54" xfId="14" applyBorder="1">
      <alignment vertical="center"/>
    </xf>
    <xf numFmtId="0" fontId="53" fillId="3" borderId="0" xfId="14" applyFill="1">
      <alignment vertical="center"/>
    </xf>
    <xf numFmtId="0" fontId="40" fillId="0" borderId="0" xfId="1" applyFont="1">
      <alignment vertical="center"/>
    </xf>
    <xf numFmtId="0" fontId="41" fillId="0" borderId="0" xfId="15" applyFont="1">
      <alignment vertical="center"/>
    </xf>
    <xf numFmtId="0" fontId="6" fillId="0" borderId="0" xfId="1" applyAlignment="1">
      <alignment horizontal="right" vertical="center"/>
    </xf>
    <xf numFmtId="0" fontId="6" fillId="0" borderId="0" xfId="1" applyAlignment="1">
      <alignment horizontal="left" vertical="center"/>
    </xf>
    <xf numFmtId="0" fontId="6" fillId="0" borderId="0" xfId="1" applyAlignment="1">
      <alignment horizontal="center" vertical="center"/>
    </xf>
    <xf numFmtId="179" fontId="6" fillId="0" borderId="0" xfId="1" applyNumberFormat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30" xfId="1" applyBorder="1" applyAlignment="1">
      <alignment horizontal="center" vertical="center"/>
    </xf>
    <xf numFmtId="0" fontId="6" fillId="0" borderId="31" xfId="1" applyBorder="1" applyAlignment="1">
      <alignment horizontal="center" vertical="center"/>
    </xf>
    <xf numFmtId="2" fontId="6" fillId="0" borderId="3" xfId="1" applyNumberFormat="1" applyBorder="1" applyAlignment="1">
      <alignment horizontal="center" vertical="center"/>
    </xf>
    <xf numFmtId="40" fontId="6" fillId="0" borderId="0" xfId="1" applyNumberFormat="1">
      <alignment vertical="center"/>
    </xf>
    <xf numFmtId="49" fontId="6" fillId="0" borderId="29" xfId="1" applyNumberFormat="1" applyBorder="1" applyAlignment="1">
      <alignment horizontal="center" vertical="center"/>
    </xf>
    <xf numFmtId="0" fontId="6" fillId="0" borderId="34" xfId="1" applyBorder="1" applyAlignment="1">
      <alignment horizontal="center" vertical="center"/>
    </xf>
    <xf numFmtId="0" fontId="6" fillId="0" borderId="37" xfId="1" applyBorder="1" applyAlignment="1">
      <alignment horizontal="center" vertical="center"/>
    </xf>
    <xf numFmtId="0" fontId="6" fillId="0" borderId="40" xfId="1" applyBorder="1" applyAlignment="1">
      <alignment horizontal="center" vertical="center"/>
    </xf>
    <xf numFmtId="0" fontId="6" fillId="0" borderId="43" xfId="1" applyBorder="1" applyAlignment="1">
      <alignment horizontal="center" vertical="center"/>
    </xf>
    <xf numFmtId="0" fontId="6" fillId="0" borderId="46" xfId="1" applyBorder="1" applyAlignment="1">
      <alignment horizontal="center" vertical="center"/>
    </xf>
    <xf numFmtId="2" fontId="42" fillId="0" borderId="3" xfId="1" applyNumberFormat="1" applyFont="1" applyBorder="1" applyAlignment="1">
      <alignment horizontal="center" vertical="center"/>
    </xf>
    <xf numFmtId="0" fontId="2" fillId="0" borderId="0" xfId="16">
      <alignment vertical="center"/>
    </xf>
    <xf numFmtId="40" fontId="44" fillId="0" borderId="0" xfId="1" applyNumberFormat="1" applyFont="1">
      <alignment vertical="center"/>
    </xf>
    <xf numFmtId="0" fontId="48" fillId="0" borderId="0" xfId="16" applyFont="1">
      <alignment vertical="center"/>
    </xf>
    <xf numFmtId="0" fontId="2" fillId="0" borderId="0" xfId="15">
      <alignment vertical="center"/>
    </xf>
    <xf numFmtId="0" fontId="16" fillId="0" borderId="3" xfId="15" applyFont="1" applyBorder="1" applyAlignment="1">
      <alignment horizontal="center" vertical="center"/>
    </xf>
    <xf numFmtId="2" fontId="6" fillId="0" borderId="0" xfId="1" applyNumberFormat="1" applyAlignment="1">
      <alignment horizontal="center" vertical="center"/>
    </xf>
    <xf numFmtId="0" fontId="20" fillId="0" borderId="17" xfId="4" applyFont="1" applyBorder="1" applyAlignment="1">
      <alignment horizontal="left" vertical="center"/>
    </xf>
    <xf numFmtId="0" fontId="20" fillId="0" borderId="18" xfId="4" applyFont="1" applyBorder="1" applyAlignment="1">
      <alignment horizontal="left" vertical="center"/>
    </xf>
    <xf numFmtId="0" fontId="20" fillId="0" borderId="19" xfId="4" applyFont="1" applyBorder="1" applyAlignment="1">
      <alignment horizontal="left" vertical="center"/>
    </xf>
    <xf numFmtId="178" fontId="32" fillId="0" borderId="26" xfId="4" applyNumberFormat="1" applyFont="1" applyBorder="1" applyAlignment="1">
      <alignment horizontal="center" vertical="center" shrinkToFit="1"/>
    </xf>
    <xf numFmtId="0" fontId="38" fillId="0" borderId="17" xfId="4" applyFont="1" applyBorder="1" applyAlignment="1">
      <alignment horizontal="left" vertical="center"/>
    </xf>
    <xf numFmtId="0" fontId="38" fillId="0" borderId="18" xfId="4" applyFont="1" applyBorder="1" applyAlignment="1">
      <alignment horizontal="left" vertical="center"/>
    </xf>
    <xf numFmtId="0" fontId="38" fillId="0" borderId="19" xfId="4" applyFont="1" applyBorder="1" applyAlignment="1">
      <alignment horizontal="left" vertical="center"/>
    </xf>
    <xf numFmtId="0" fontId="60" fillId="0" borderId="54" xfId="1" applyFont="1" applyBorder="1">
      <alignment vertical="center"/>
    </xf>
    <xf numFmtId="178" fontId="13" fillId="4" borderId="25" xfId="4" applyNumberFormat="1" applyFont="1" applyFill="1" applyBorder="1" applyAlignment="1">
      <alignment horizontal="center" vertical="center" shrinkToFit="1"/>
    </xf>
    <xf numFmtId="0" fontId="34" fillId="3" borderId="55" xfId="14" applyFont="1" applyFill="1" applyBorder="1" applyAlignment="1">
      <alignment horizontal="center" vertical="center"/>
    </xf>
    <xf numFmtId="0" fontId="34" fillId="3" borderId="56" xfId="14" applyFont="1" applyFill="1" applyBorder="1" applyAlignment="1">
      <alignment horizontal="center" vertical="center"/>
    </xf>
    <xf numFmtId="0" fontId="34" fillId="3" borderId="57" xfId="14" applyFont="1" applyFill="1" applyBorder="1" applyAlignment="1">
      <alignment horizontal="center" vertical="center"/>
    </xf>
    <xf numFmtId="0" fontId="0" fillId="0" borderId="56" xfId="0" applyBorder="1">
      <alignment vertical="center"/>
    </xf>
    <xf numFmtId="0" fontId="0" fillId="0" borderId="57" xfId="0" applyBorder="1">
      <alignment vertical="center"/>
    </xf>
    <xf numFmtId="0" fontId="34" fillId="0" borderId="0" xfId="14" applyFont="1" applyAlignment="1">
      <alignment horizontal="center" vertical="center"/>
    </xf>
    <xf numFmtId="0" fontId="55" fillId="0" borderId="0" xfId="14" applyFont="1" applyAlignment="1">
      <alignment horizontal="center" vertical="center"/>
    </xf>
    <xf numFmtId="0" fontId="55" fillId="3" borderId="56" xfId="14" applyFont="1" applyFill="1" applyBorder="1" applyAlignment="1">
      <alignment horizontal="center" vertical="center"/>
    </xf>
    <xf numFmtId="0" fontId="53" fillId="0" borderId="0" xfId="14" applyAlignment="1">
      <alignment horizontal="center" vertical="center"/>
    </xf>
    <xf numFmtId="0" fontId="53" fillId="0" borderId="54" xfId="14" applyBorder="1" applyAlignment="1">
      <alignment horizontal="center" vertical="center"/>
    </xf>
    <xf numFmtId="0" fontId="57" fillId="0" borderId="0" xfId="14" applyFont="1" applyAlignment="1">
      <alignment horizontal="center" vertical="center"/>
    </xf>
    <xf numFmtId="0" fontId="11" fillId="0" borderId="0" xfId="1" applyFont="1">
      <alignment vertical="center"/>
    </xf>
    <xf numFmtId="0" fontId="6" fillId="0" borderId="0" xfId="1">
      <alignment vertical="center"/>
    </xf>
    <xf numFmtId="0" fontId="20" fillId="0" borderId="17" xfId="4" applyFont="1" applyBorder="1" applyAlignment="1">
      <alignment horizontal="left" vertical="center"/>
    </xf>
    <xf numFmtId="0" fontId="20" fillId="0" borderId="18" xfId="4" applyFont="1" applyBorder="1" applyAlignment="1">
      <alignment horizontal="left" vertical="center"/>
    </xf>
    <xf numFmtId="0" fontId="20" fillId="0" borderId="19" xfId="4" applyFont="1" applyBorder="1" applyAlignment="1">
      <alignment horizontal="left" vertical="center"/>
    </xf>
    <xf numFmtId="0" fontId="25" fillId="0" borderId="17" xfId="4" applyFont="1" applyBorder="1" applyAlignment="1">
      <alignment horizontal="left" vertical="center" shrinkToFit="1"/>
    </xf>
    <xf numFmtId="0" fontId="25" fillId="0" borderId="18" xfId="4" applyFont="1" applyBorder="1" applyAlignment="1">
      <alignment horizontal="left" vertical="center" shrinkToFit="1"/>
    </xf>
    <xf numFmtId="0" fontId="25" fillId="0" borderId="19" xfId="4" applyFont="1" applyBorder="1" applyAlignment="1">
      <alignment horizontal="left" vertical="center" shrinkToFit="1"/>
    </xf>
    <xf numFmtId="178" fontId="13" fillId="0" borderId="3" xfId="4" applyNumberFormat="1" applyFont="1" applyBorder="1" applyAlignment="1">
      <alignment horizontal="center" vertical="center" shrinkToFit="1"/>
    </xf>
    <xf numFmtId="178" fontId="36" fillId="0" borderId="3" xfId="4" applyNumberFormat="1" applyFont="1" applyBorder="1" applyAlignment="1">
      <alignment horizontal="center" vertical="center" shrinkToFit="1"/>
    </xf>
    <xf numFmtId="178" fontId="13" fillId="0" borderId="4" xfId="4" applyNumberFormat="1" applyFont="1" applyBorder="1" applyAlignment="1">
      <alignment horizontal="center" vertical="center" shrinkToFit="1"/>
    </xf>
    <xf numFmtId="178" fontId="13" fillId="0" borderId="5" xfId="4" applyNumberFormat="1" applyFont="1" applyBorder="1" applyAlignment="1">
      <alignment horizontal="center" vertical="center" shrinkToFit="1"/>
    </xf>
    <xf numFmtId="178" fontId="13" fillId="0" borderId="0" xfId="4" applyNumberFormat="1" applyFont="1" applyAlignment="1">
      <alignment horizontal="center" vertical="center" shrinkToFit="1"/>
    </xf>
    <xf numFmtId="0" fontId="11" fillId="0" borderId="6" xfId="1" applyFont="1" applyBorder="1">
      <alignment vertical="center"/>
    </xf>
    <xf numFmtId="0" fontId="6" fillId="0" borderId="6" xfId="1" applyBorder="1">
      <alignment vertical="center"/>
    </xf>
    <xf numFmtId="0" fontId="6" fillId="0" borderId="28" xfId="1" applyBorder="1" applyAlignment="1">
      <alignment horizontal="center" vertical="center" textRotation="255" shrinkToFit="1"/>
    </xf>
    <xf numFmtId="0" fontId="6" fillId="0" borderId="24" xfId="1" applyBorder="1" applyAlignment="1">
      <alignment horizontal="center" vertical="center" textRotation="255" shrinkToFit="1"/>
    </xf>
    <xf numFmtId="0" fontId="20" fillId="2" borderId="10" xfId="4" applyFont="1" applyFill="1" applyBorder="1" applyAlignment="1">
      <alignment horizontal="center" vertical="center" shrinkToFit="1"/>
    </xf>
    <xf numFmtId="0" fontId="6" fillId="0" borderId="20" xfId="1" applyBorder="1" applyAlignment="1">
      <alignment horizontal="center" vertical="center" shrinkToFit="1"/>
    </xf>
    <xf numFmtId="0" fontId="20" fillId="2" borderId="10" xfId="4" applyFont="1" applyFill="1" applyBorder="1" applyAlignment="1">
      <alignment horizontal="center" vertical="center" wrapText="1" shrinkToFit="1"/>
    </xf>
    <xf numFmtId="0" fontId="6" fillId="0" borderId="20" xfId="1" applyBorder="1" applyAlignment="1">
      <alignment horizontal="center" vertical="center" wrapText="1" shrinkToFit="1"/>
    </xf>
    <xf numFmtId="0" fontId="20" fillId="0" borderId="5" xfId="4" applyFont="1" applyBorder="1" applyAlignment="1">
      <alignment horizontal="center" vertical="center" wrapText="1" shrinkToFit="1"/>
    </xf>
    <xf numFmtId="0" fontId="6" fillId="0" borderId="0" xfId="1" applyAlignment="1">
      <alignment horizontal="center" vertical="center" wrapText="1" shrinkToFit="1"/>
    </xf>
    <xf numFmtId="0" fontId="13" fillId="0" borderId="0" xfId="4" applyFont="1" applyAlignment="1">
      <alignment horizontal="center" vertical="center" wrapText="1" shrinkToFit="1"/>
    </xf>
    <xf numFmtId="0" fontId="25" fillId="0" borderId="17" xfId="4" applyFont="1" applyBorder="1" applyAlignment="1">
      <alignment horizontal="center" vertical="center"/>
    </xf>
    <xf numFmtId="0" fontId="25" fillId="0" borderId="18" xfId="4" applyFont="1" applyBorder="1" applyAlignment="1">
      <alignment horizontal="center" vertical="center"/>
    </xf>
    <xf numFmtId="0" fontId="25" fillId="0" borderId="19" xfId="4" applyFont="1" applyBorder="1" applyAlignment="1">
      <alignment horizontal="center" vertical="center"/>
    </xf>
    <xf numFmtId="0" fontId="13" fillId="0" borderId="17" xfId="4" applyFont="1" applyBorder="1" applyAlignment="1">
      <alignment horizontal="center" vertical="center"/>
    </xf>
    <xf numFmtId="0" fontId="13" fillId="0" borderId="18" xfId="4" applyFont="1" applyBorder="1" applyAlignment="1">
      <alignment horizontal="center" vertical="center"/>
    </xf>
    <xf numFmtId="0" fontId="13" fillId="0" borderId="19" xfId="4" applyFont="1" applyBorder="1" applyAlignment="1">
      <alignment horizontal="center" vertical="center"/>
    </xf>
    <xf numFmtId="0" fontId="13" fillId="0" borderId="14" xfId="4" applyFont="1" applyBorder="1" applyAlignment="1">
      <alignment horizontal="center" vertical="center"/>
    </xf>
    <xf numFmtId="0" fontId="13" fillId="0" borderId="15" xfId="4" applyFont="1" applyBorder="1" applyAlignment="1">
      <alignment horizontal="center" vertical="center"/>
    </xf>
    <xf numFmtId="0" fontId="13" fillId="0" borderId="16" xfId="4" applyFont="1" applyBorder="1" applyAlignment="1">
      <alignment horizontal="center" vertical="center"/>
    </xf>
    <xf numFmtId="0" fontId="25" fillId="0" borderId="17" xfId="4" applyFont="1" applyBorder="1">
      <alignment vertical="center"/>
    </xf>
    <xf numFmtId="0" fontId="25" fillId="0" borderId="18" xfId="4" applyFont="1" applyBorder="1">
      <alignment vertical="center"/>
    </xf>
    <xf numFmtId="0" fontId="25" fillId="0" borderId="19" xfId="4" applyFont="1" applyBorder="1">
      <alignment vertical="center"/>
    </xf>
    <xf numFmtId="0" fontId="34" fillId="0" borderId="17" xfId="4" applyFont="1" applyBorder="1">
      <alignment vertical="center"/>
    </xf>
    <xf numFmtId="0" fontId="34" fillId="0" borderId="17" xfId="4" applyFont="1" applyBorder="1" applyAlignment="1">
      <alignment horizontal="left" vertical="center"/>
    </xf>
    <xf numFmtId="0" fontId="25" fillId="0" borderId="18" xfId="4" applyFont="1" applyBorder="1" applyAlignment="1">
      <alignment horizontal="left" vertical="center"/>
    </xf>
    <xf numFmtId="0" fontId="25" fillId="0" borderId="19" xfId="4" applyFont="1" applyBorder="1" applyAlignment="1">
      <alignment horizontal="left" vertical="center"/>
    </xf>
    <xf numFmtId="0" fontId="20" fillId="0" borderId="17" xfId="4" applyFont="1" applyBorder="1" applyAlignment="1">
      <alignment horizontal="center" vertical="center"/>
    </xf>
    <xf numFmtId="0" fontId="20" fillId="0" borderId="18" xfId="4" applyFont="1" applyBorder="1" applyAlignment="1">
      <alignment horizontal="center" vertical="center"/>
    </xf>
    <xf numFmtId="0" fontId="20" fillId="0" borderId="19" xfId="4" applyFont="1" applyBorder="1" applyAlignment="1">
      <alignment horizontal="center" vertical="center"/>
    </xf>
    <xf numFmtId="0" fontId="38" fillId="0" borderId="17" xfId="4" applyFont="1" applyBorder="1" applyAlignment="1">
      <alignment horizontal="left" vertical="center"/>
    </xf>
    <xf numFmtId="0" fontId="38" fillId="0" borderId="18" xfId="4" applyFont="1" applyBorder="1" applyAlignment="1">
      <alignment horizontal="left" vertical="center"/>
    </xf>
    <xf numFmtId="0" fontId="38" fillId="0" borderId="19" xfId="4" applyFont="1" applyBorder="1" applyAlignment="1">
      <alignment horizontal="left" vertical="center"/>
    </xf>
    <xf numFmtId="0" fontId="61" fillId="0" borderId="17" xfId="4" applyFont="1" applyBorder="1" applyAlignment="1">
      <alignment horizontal="left" vertical="center"/>
    </xf>
    <xf numFmtId="0" fontId="13" fillId="0" borderId="18" xfId="4" applyFont="1" applyBorder="1" applyAlignment="1">
      <alignment horizontal="left" vertical="center"/>
    </xf>
    <xf numFmtId="0" fontId="13" fillId="0" borderId="19" xfId="4" applyFont="1" applyBorder="1" applyAlignment="1">
      <alignment horizontal="left" vertical="center"/>
    </xf>
    <xf numFmtId="0" fontId="38" fillId="0" borderId="11" xfId="4" applyFont="1" applyBorder="1" applyAlignment="1">
      <alignment horizontal="left" vertical="center"/>
    </xf>
    <xf numFmtId="0" fontId="38" fillId="0" borderId="12" xfId="4" applyFont="1" applyBorder="1" applyAlignment="1">
      <alignment horizontal="left" vertical="center"/>
    </xf>
    <xf numFmtId="0" fontId="38" fillId="0" borderId="13" xfId="4" applyFont="1" applyBorder="1" applyAlignment="1">
      <alignment horizontal="left" vertical="center"/>
    </xf>
    <xf numFmtId="178" fontId="13" fillId="0" borderId="10" xfId="4" applyNumberFormat="1" applyFont="1" applyBorder="1" applyAlignment="1">
      <alignment horizontal="center" vertical="center" shrinkToFit="1"/>
    </xf>
    <xf numFmtId="178" fontId="13" fillId="0" borderId="20" xfId="4" applyNumberFormat="1" applyFont="1" applyBorder="1" applyAlignment="1">
      <alignment horizontal="center" vertical="center" shrinkToFit="1"/>
    </xf>
    <xf numFmtId="0" fontId="20" fillId="0" borderId="10" xfId="4" applyFont="1" applyBorder="1" applyAlignment="1">
      <alignment horizontal="center" vertical="center" shrinkToFit="1"/>
    </xf>
    <xf numFmtId="0" fontId="13" fillId="0" borderId="20" xfId="4" applyFont="1" applyBorder="1" applyAlignment="1">
      <alignment horizontal="center" vertical="center" shrinkToFit="1"/>
    </xf>
    <xf numFmtId="0" fontId="22" fillId="2" borderId="5" xfId="4" applyFont="1" applyFill="1" applyBorder="1" applyAlignment="1">
      <alignment horizontal="center" vertical="center" wrapText="1" shrinkToFit="1"/>
    </xf>
    <xf numFmtId="0" fontId="22" fillId="2" borderId="21" xfId="4" applyFont="1" applyFill="1" applyBorder="1" applyAlignment="1">
      <alignment horizontal="center" vertical="center" wrapText="1" shrinkToFit="1"/>
    </xf>
    <xf numFmtId="0" fontId="22" fillId="2" borderId="8" xfId="4" applyFont="1" applyFill="1" applyBorder="1" applyAlignment="1">
      <alignment horizontal="center" vertical="center" wrapText="1" shrinkToFit="1"/>
    </xf>
    <xf numFmtId="0" fontId="22" fillId="2" borderId="9" xfId="4" applyFont="1" applyFill="1" applyBorder="1" applyAlignment="1">
      <alignment horizontal="center" vertical="center" wrapText="1" shrinkToFit="1"/>
    </xf>
    <xf numFmtId="0" fontId="29" fillId="2" borderId="4" xfId="4" applyFont="1" applyFill="1" applyBorder="1" applyAlignment="1">
      <alignment horizontal="center" vertical="center" wrapText="1" shrinkToFit="1"/>
    </xf>
    <xf numFmtId="0" fontId="32" fillId="2" borderId="24" xfId="4" applyFont="1" applyFill="1" applyBorder="1" applyAlignment="1">
      <alignment horizontal="center" vertical="center" wrapText="1" shrinkToFit="1"/>
    </xf>
    <xf numFmtId="0" fontId="13" fillId="0" borderId="10" xfId="4" applyFont="1" applyBorder="1" applyAlignment="1">
      <alignment horizontal="center" vertical="center" wrapText="1" shrinkToFit="1"/>
    </xf>
    <xf numFmtId="0" fontId="13" fillId="0" borderId="23" xfId="4" applyFont="1" applyBorder="1" applyAlignment="1">
      <alignment horizontal="center" vertical="center" wrapText="1" shrinkToFit="1"/>
    </xf>
    <xf numFmtId="0" fontId="13" fillId="0" borderId="20" xfId="4" applyFont="1" applyBorder="1" applyAlignment="1">
      <alignment horizontal="center" vertical="center" wrapText="1" shrinkToFit="1"/>
    </xf>
    <xf numFmtId="0" fontId="13" fillId="2" borderId="2" xfId="4" applyFont="1" applyFill="1" applyBorder="1" applyAlignment="1">
      <alignment horizontal="center" vertical="center" shrinkToFit="1"/>
    </xf>
    <xf numFmtId="0" fontId="13" fillId="2" borderId="7" xfId="4" applyFont="1" applyFill="1" applyBorder="1" applyAlignment="1">
      <alignment horizontal="center" vertical="center" shrinkToFit="1"/>
    </xf>
    <xf numFmtId="0" fontId="13" fillId="2" borderId="8" xfId="4" applyFont="1" applyFill="1" applyBorder="1" applyAlignment="1">
      <alignment horizontal="center" vertical="center" shrinkToFit="1"/>
    </xf>
    <xf numFmtId="0" fontId="13" fillId="2" borderId="9" xfId="4" applyFont="1" applyFill="1" applyBorder="1" applyAlignment="1">
      <alignment horizontal="center" vertical="center" shrinkToFit="1"/>
    </xf>
    <xf numFmtId="0" fontId="29" fillId="2" borderId="5" xfId="4" applyFont="1" applyFill="1" applyBorder="1" applyAlignment="1">
      <alignment horizontal="center" vertical="center" wrapText="1" shrinkToFit="1"/>
    </xf>
    <xf numFmtId="0" fontId="32" fillId="2" borderId="5" xfId="4" applyFont="1" applyFill="1" applyBorder="1" applyAlignment="1">
      <alignment horizontal="center" vertical="center" wrapText="1" shrinkToFit="1"/>
    </xf>
    <xf numFmtId="0" fontId="20" fillId="2" borderId="4" xfId="4" applyFont="1" applyFill="1" applyBorder="1" applyAlignment="1">
      <alignment horizontal="center" vertical="center" wrapText="1" shrinkToFit="1"/>
    </xf>
    <xf numFmtId="0" fontId="13" fillId="2" borderId="4" xfId="4" applyFont="1" applyFill="1" applyBorder="1" applyAlignment="1">
      <alignment horizontal="center" vertical="center" wrapText="1" shrinkToFit="1"/>
    </xf>
    <xf numFmtId="0" fontId="24" fillId="2" borderId="2" xfId="4" applyFont="1" applyFill="1" applyBorder="1" applyAlignment="1">
      <alignment horizontal="center" vertical="center" wrapText="1" shrinkToFit="1"/>
    </xf>
    <xf numFmtId="0" fontId="24" fillId="2" borderId="7" xfId="4" applyFont="1" applyFill="1" applyBorder="1" applyAlignment="1">
      <alignment horizontal="center" vertical="center" wrapText="1" shrinkToFit="1"/>
    </xf>
    <xf numFmtId="0" fontId="24" fillId="2" borderId="8" xfId="4" applyFont="1" applyFill="1" applyBorder="1" applyAlignment="1">
      <alignment horizontal="center" vertical="center" wrapText="1" shrinkToFit="1"/>
    </xf>
    <xf numFmtId="0" fontId="24" fillId="2" borderId="9" xfId="4" applyFont="1" applyFill="1" applyBorder="1" applyAlignment="1">
      <alignment horizontal="center" vertical="center" wrapText="1" shrinkToFit="1"/>
    </xf>
    <xf numFmtId="0" fontId="22" fillId="2" borderId="7" xfId="4" applyFont="1" applyFill="1" applyBorder="1" applyAlignment="1">
      <alignment horizontal="center" vertical="center" wrapText="1" shrinkToFit="1"/>
    </xf>
    <xf numFmtId="0" fontId="13" fillId="2" borderId="5" xfId="4" applyFont="1" applyFill="1" applyBorder="1" applyAlignment="1">
      <alignment horizontal="center" vertical="center" wrapText="1" shrinkToFit="1"/>
    </xf>
    <xf numFmtId="0" fontId="13" fillId="2" borderId="21" xfId="4" applyFont="1" applyFill="1" applyBorder="1" applyAlignment="1">
      <alignment horizontal="center" vertical="center" wrapText="1" shrinkToFit="1"/>
    </xf>
    <xf numFmtId="0" fontId="13" fillId="2" borderId="8" xfId="4" applyFont="1" applyFill="1" applyBorder="1" applyAlignment="1">
      <alignment horizontal="center" vertical="center" wrapText="1" shrinkToFit="1"/>
    </xf>
    <xf numFmtId="0" fontId="13" fillId="2" borderId="9" xfId="4" applyFont="1" applyFill="1" applyBorder="1" applyAlignment="1">
      <alignment horizontal="center" vertical="center" wrapText="1" shrinkToFit="1"/>
    </xf>
    <xf numFmtId="0" fontId="13" fillId="2" borderId="2" xfId="4" applyFont="1" applyFill="1" applyBorder="1" applyAlignment="1">
      <alignment horizontal="center" vertical="center" wrapText="1" shrinkToFit="1"/>
    </xf>
    <xf numFmtId="0" fontId="13" fillId="2" borderId="7" xfId="4" applyFont="1" applyFill="1" applyBorder="1" applyAlignment="1">
      <alignment horizontal="center" vertical="center" wrapText="1" shrinkToFit="1"/>
    </xf>
    <xf numFmtId="0" fontId="23" fillId="2" borderId="10" xfId="4" applyFont="1" applyFill="1" applyBorder="1" applyAlignment="1">
      <alignment horizontal="center" shrinkToFit="1"/>
    </xf>
    <xf numFmtId="0" fontId="23" fillId="2" borderId="20" xfId="4" applyFont="1" applyFill="1" applyBorder="1" applyAlignment="1">
      <alignment horizontal="center" shrinkToFit="1"/>
    </xf>
    <xf numFmtId="177" fontId="59" fillId="4" borderId="10" xfId="1" applyNumberFormat="1" applyFont="1" applyFill="1" applyBorder="1" applyAlignment="1">
      <alignment horizontal="right" vertical="center" shrinkToFit="1"/>
    </xf>
    <xf numFmtId="0" fontId="60" fillId="4" borderId="20" xfId="1" applyFont="1" applyFill="1" applyBorder="1" applyAlignment="1">
      <alignment horizontal="right" vertical="center" shrinkToFit="1"/>
    </xf>
    <xf numFmtId="0" fontId="20" fillId="2" borderId="2" xfId="4" applyFont="1" applyFill="1" applyBorder="1" applyAlignment="1">
      <alignment horizontal="center" vertical="center" shrinkToFit="1"/>
    </xf>
    <xf numFmtId="0" fontId="6" fillId="0" borderId="7" xfId="1" applyBorder="1" applyAlignment="1">
      <alignment horizontal="center" vertical="center" shrinkToFit="1"/>
    </xf>
    <xf numFmtId="0" fontId="20" fillId="4" borderId="10" xfId="4" applyFont="1" applyFill="1" applyBorder="1" applyAlignment="1">
      <alignment horizontal="left" vertical="center" shrinkToFit="1"/>
    </xf>
    <xf numFmtId="0" fontId="20" fillId="4" borderId="23" xfId="4" applyFont="1" applyFill="1" applyBorder="1" applyAlignment="1">
      <alignment horizontal="left" vertical="center" shrinkToFit="1"/>
    </xf>
    <xf numFmtId="0" fontId="20" fillId="4" borderId="20" xfId="4" applyFont="1" applyFill="1" applyBorder="1" applyAlignment="1">
      <alignment horizontal="left" vertical="center" shrinkToFit="1"/>
    </xf>
    <xf numFmtId="10" fontId="26" fillId="0" borderId="10" xfId="1" applyNumberFormat="1" applyFont="1" applyBorder="1" applyAlignment="1">
      <alignment horizontal="center" vertical="center"/>
    </xf>
    <xf numFmtId="0" fontId="6" fillId="0" borderId="20" xfId="1" applyBorder="1" applyAlignment="1">
      <alignment horizontal="center" vertical="center"/>
    </xf>
    <xf numFmtId="0" fontId="24" fillId="2" borderId="10" xfId="4" applyFont="1" applyFill="1" applyBorder="1" applyAlignment="1">
      <alignment horizontal="center" shrinkToFit="1"/>
    </xf>
    <xf numFmtId="0" fontId="22" fillId="2" borderId="20" xfId="4" applyFont="1" applyFill="1" applyBorder="1" applyAlignment="1">
      <alignment horizontal="center" shrinkToFit="1"/>
    </xf>
    <xf numFmtId="0" fontId="6" fillId="0" borderId="10" xfId="1" applyBorder="1" applyAlignment="1">
      <alignment horizontal="center" vertical="center"/>
    </xf>
    <xf numFmtId="0" fontId="6" fillId="0" borderId="23" xfId="1" applyBorder="1" applyAlignment="1">
      <alignment horizontal="center" vertical="center"/>
    </xf>
    <xf numFmtId="0" fontId="20" fillId="2" borderId="10" xfId="4" applyFont="1" applyFill="1" applyBorder="1" applyAlignment="1">
      <alignment horizontal="center" shrinkToFit="1"/>
    </xf>
    <xf numFmtId="0" fontId="13" fillId="2" borderId="20" xfId="4" applyFont="1" applyFill="1" applyBorder="1" applyAlignment="1">
      <alignment horizontal="center" shrinkToFit="1"/>
    </xf>
    <xf numFmtId="10" fontId="20" fillId="0" borderId="10" xfId="4" applyNumberFormat="1" applyFont="1" applyBorder="1" applyAlignment="1">
      <alignment horizontal="center" shrinkToFit="1"/>
    </xf>
    <xf numFmtId="0" fontId="20" fillId="0" borderId="23" xfId="4" applyFont="1" applyBorder="1" applyAlignment="1">
      <alignment horizontal="center" shrinkToFit="1"/>
    </xf>
    <xf numFmtId="0" fontId="19" fillId="2" borderId="10" xfId="4" applyFont="1" applyFill="1" applyBorder="1" applyAlignment="1">
      <alignment horizontal="center" shrinkToFit="1"/>
    </xf>
    <xf numFmtId="0" fontId="23" fillId="2" borderId="10" xfId="4" applyFont="1" applyFill="1" applyBorder="1" applyAlignment="1">
      <alignment shrinkToFit="1"/>
    </xf>
    <xf numFmtId="0" fontId="23" fillId="2" borderId="20" xfId="4" applyFont="1" applyFill="1" applyBorder="1" applyAlignment="1">
      <alignment shrinkToFit="1"/>
    </xf>
    <xf numFmtId="0" fontId="20" fillId="4" borderId="10" xfId="4" applyFont="1" applyFill="1" applyBorder="1" applyAlignment="1">
      <alignment horizontal="left" shrinkToFit="1"/>
    </xf>
    <xf numFmtId="0" fontId="20" fillId="4" borderId="23" xfId="4" applyFont="1" applyFill="1" applyBorder="1" applyAlignment="1">
      <alignment horizontal="left" shrinkToFit="1"/>
    </xf>
    <xf numFmtId="0" fontId="20" fillId="4" borderId="20" xfId="4" applyFont="1" applyFill="1" applyBorder="1" applyAlignment="1">
      <alignment horizontal="left" shrinkToFit="1"/>
    </xf>
    <xf numFmtId="0" fontId="20" fillId="0" borderId="10" xfId="4" applyFont="1" applyBorder="1" applyAlignment="1">
      <alignment horizontal="center" shrinkToFit="1"/>
    </xf>
    <xf numFmtId="0" fontId="13" fillId="0" borderId="20" xfId="1" applyFont="1" applyBorder="1">
      <alignment vertical="center"/>
    </xf>
    <xf numFmtId="0" fontId="13" fillId="2" borderId="10" xfId="4" applyFont="1" applyFill="1" applyBorder="1" applyAlignment="1">
      <alignment horizontal="center" shrinkToFit="1"/>
    </xf>
    <xf numFmtId="0" fontId="13" fillId="0" borderId="23" xfId="4" applyFont="1" applyBorder="1" applyAlignment="1">
      <alignment horizontal="center" shrinkToFit="1"/>
    </xf>
    <xf numFmtId="0" fontId="13" fillId="0" borderId="20" xfId="4" applyFont="1" applyBorder="1" applyAlignment="1">
      <alignment horizontal="center" shrinkToFit="1"/>
    </xf>
    <xf numFmtId="6" fontId="13" fillId="0" borderId="10" xfId="6" applyFont="1" applyBorder="1" applyAlignment="1">
      <alignment horizontal="center" shrinkToFit="1"/>
    </xf>
    <xf numFmtId="6" fontId="13" fillId="0" borderId="20" xfId="6" applyFont="1" applyBorder="1">
      <alignment vertical="center"/>
    </xf>
    <xf numFmtId="0" fontId="13" fillId="2" borderId="3" xfId="4" applyFont="1" applyFill="1" applyBorder="1" applyAlignment="1">
      <alignment horizontal="center" shrinkToFit="1"/>
    </xf>
    <xf numFmtId="38" fontId="20" fillId="0" borderId="10" xfId="5" applyFont="1" applyBorder="1" applyAlignment="1">
      <alignment horizontal="center" shrinkToFit="1"/>
    </xf>
    <xf numFmtId="38" fontId="13" fillId="0" borderId="20" xfId="5" applyFont="1" applyBorder="1">
      <alignment vertical="center"/>
    </xf>
    <xf numFmtId="0" fontId="25" fillId="0" borderId="11" xfId="4" applyFont="1" applyBorder="1" applyAlignment="1">
      <alignment horizontal="left" vertical="center" shrinkToFit="1"/>
    </xf>
    <xf numFmtId="0" fontId="25" fillId="0" borderId="12" xfId="4" applyFont="1" applyBorder="1" applyAlignment="1">
      <alignment horizontal="left" vertical="center" shrinkToFit="1"/>
    </xf>
    <xf numFmtId="0" fontId="25" fillId="0" borderId="13" xfId="4" applyFont="1" applyBorder="1" applyAlignment="1">
      <alignment horizontal="left" vertical="center" shrinkToFit="1"/>
    </xf>
    <xf numFmtId="0" fontId="24" fillId="2" borderId="3" xfId="4" applyFont="1" applyFill="1" applyBorder="1" applyAlignment="1">
      <alignment horizontal="center" shrinkToFit="1"/>
    </xf>
    <xf numFmtId="0" fontId="22" fillId="2" borderId="3" xfId="4" applyFont="1" applyFill="1" applyBorder="1" applyAlignment="1">
      <alignment horizontal="center" shrinkToFit="1"/>
    </xf>
    <xf numFmtId="0" fontId="18" fillId="2" borderId="10" xfId="4" applyFont="1" applyFill="1" applyBorder="1" applyAlignment="1">
      <alignment horizontal="center" vertical="center" shrinkToFit="1"/>
    </xf>
    <xf numFmtId="0" fontId="18" fillId="2" borderId="23" xfId="4" applyFont="1" applyFill="1" applyBorder="1" applyAlignment="1">
      <alignment horizontal="center" vertical="center" shrinkToFit="1"/>
    </xf>
    <xf numFmtId="0" fontId="18" fillId="2" borderId="20" xfId="4" applyFont="1" applyFill="1" applyBorder="1" applyAlignment="1">
      <alignment horizontal="center" vertical="center" shrinkToFit="1"/>
    </xf>
    <xf numFmtId="38" fontId="13" fillId="0" borderId="10" xfId="5" applyFont="1" applyBorder="1" applyAlignment="1">
      <alignment horizontal="center" shrinkToFit="1"/>
    </xf>
    <xf numFmtId="0" fontId="7" fillId="0" borderId="22" xfId="4" applyFont="1" applyBorder="1" applyAlignment="1">
      <alignment horizontal="center" shrinkToFit="1"/>
    </xf>
    <xf numFmtId="0" fontId="9" fillId="0" borderId="22" xfId="4" applyFont="1" applyBorder="1" applyAlignment="1">
      <alignment horizontal="center" shrinkToFit="1"/>
    </xf>
    <xf numFmtId="0" fontId="10" fillId="0" borderId="0" xfId="4" applyFont="1" applyAlignment="1">
      <alignment horizontal="left" shrinkToFit="1"/>
    </xf>
    <xf numFmtId="0" fontId="2" fillId="0" borderId="1" xfId="4" applyFont="1" applyBorder="1" applyAlignment="1">
      <alignment horizontal="center" shrinkToFit="1"/>
    </xf>
    <xf numFmtId="0" fontId="6" fillId="0" borderId="1" xfId="1" applyBorder="1" applyAlignment="1">
      <alignment horizontal="center" shrinkToFit="1"/>
    </xf>
    <xf numFmtId="0" fontId="12" fillId="0" borderId="1" xfId="4" applyFont="1" applyBorder="1" applyAlignment="1">
      <alignment horizontal="center" shrinkToFit="1"/>
    </xf>
    <xf numFmtId="0" fontId="12" fillId="0" borderId="10" xfId="4" applyFont="1" applyBorder="1" applyAlignment="1">
      <alignment horizontal="center" vertical="center" shrinkToFit="1"/>
    </xf>
    <xf numFmtId="0" fontId="11" fillId="0" borderId="23" xfId="4" applyFont="1" applyBorder="1" applyAlignment="1">
      <alignment horizontal="center" vertical="center" shrinkToFit="1"/>
    </xf>
    <xf numFmtId="0" fontId="11" fillId="0" borderId="20" xfId="4" applyFont="1" applyBorder="1" applyAlignment="1">
      <alignment horizontal="center" vertical="center" shrinkToFit="1"/>
    </xf>
    <xf numFmtId="0" fontId="11" fillId="2" borderId="10" xfId="4" applyFont="1" applyFill="1" applyBorder="1" applyAlignment="1">
      <alignment horizontal="center" vertical="center" shrinkToFit="1"/>
    </xf>
    <xf numFmtId="0" fontId="11" fillId="2" borderId="20" xfId="4" applyFont="1" applyFill="1" applyBorder="1" applyAlignment="1">
      <alignment horizontal="center" vertical="center" shrinkToFit="1"/>
    </xf>
    <xf numFmtId="0" fontId="15" fillId="2" borderId="10" xfId="4" applyFont="1" applyFill="1" applyBorder="1" applyAlignment="1">
      <alignment horizontal="center" vertical="center" shrinkToFit="1"/>
    </xf>
    <xf numFmtId="0" fontId="15" fillId="2" borderId="20" xfId="4" applyFont="1" applyFill="1" applyBorder="1" applyAlignment="1">
      <alignment horizontal="center" vertical="center" shrinkToFit="1"/>
    </xf>
    <xf numFmtId="0" fontId="42" fillId="3" borderId="52" xfId="1" applyFont="1" applyFill="1" applyBorder="1" applyAlignment="1">
      <alignment horizontal="center" vertical="center"/>
    </xf>
    <xf numFmtId="0" fontId="42" fillId="3" borderId="54" xfId="1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" fillId="0" borderId="2" xfId="15" applyBorder="1" applyAlignment="1">
      <alignment horizontal="center" vertical="center"/>
    </xf>
    <xf numFmtId="0" fontId="2" fillId="0" borderId="6" xfId="15" applyBorder="1" applyAlignment="1">
      <alignment horizontal="center" vertical="center"/>
    </xf>
    <xf numFmtId="0" fontId="2" fillId="0" borderId="7" xfId="15" applyBorder="1" applyAlignment="1">
      <alignment horizontal="center" vertical="center"/>
    </xf>
    <xf numFmtId="176" fontId="52" fillId="0" borderId="2" xfId="15" applyNumberFormat="1" applyFont="1" applyBorder="1" applyAlignment="1">
      <alignment horizontal="center" vertical="center"/>
    </xf>
    <xf numFmtId="176" fontId="52" fillId="0" borderId="6" xfId="15" applyNumberFormat="1" applyFont="1" applyBorder="1" applyAlignment="1">
      <alignment horizontal="center" vertical="center"/>
    </xf>
    <xf numFmtId="176" fontId="52" fillId="0" borderId="7" xfId="15" applyNumberFormat="1" applyFont="1" applyBorder="1" applyAlignment="1">
      <alignment horizontal="center" vertical="center"/>
    </xf>
    <xf numFmtId="176" fontId="52" fillId="0" borderId="8" xfId="15" applyNumberFormat="1" applyFont="1" applyBorder="1" applyAlignment="1">
      <alignment horizontal="center" vertical="center"/>
    </xf>
    <xf numFmtId="176" fontId="52" fillId="0" borderId="1" xfId="15" applyNumberFormat="1" applyFont="1" applyBorder="1" applyAlignment="1">
      <alignment horizontal="center" vertical="center"/>
    </xf>
    <xf numFmtId="176" fontId="52" fillId="0" borderId="9" xfId="15" applyNumberFormat="1" applyFont="1" applyBorder="1" applyAlignment="1">
      <alignment horizontal="center" vertical="center"/>
    </xf>
    <xf numFmtId="180" fontId="16" fillId="0" borderId="3" xfId="15" applyNumberFormat="1" applyFont="1" applyBorder="1" applyAlignment="1">
      <alignment horizontal="center" vertical="center"/>
    </xf>
    <xf numFmtId="177" fontId="16" fillId="0" borderId="3" xfId="15" applyNumberFormat="1" applyFont="1" applyBorder="1" applyAlignment="1">
      <alignment horizontal="center" vertical="center"/>
    </xf>
    <xf numFmtId="0" fontId="45" fillId="0" borderId="10" xfId="1" applyFont="1" applyBorder="1" applyAlignment="1">
      <alignment horizontal="center" vertical="center"/>
    </xf>
    <xf numFmtId="0" fontId="45" fillId="0" borderId="23" xfId="1" applyFont="1" applyBorder="1" applyAlignment="1">
      <alignment horizontal="center" vertical="center"/>
    </xf>
    <xf numFmtId="0" fontId="45" fillId="0" borderId="20" xfId="1" applyFont="1" applyBorder="1" applyAlignment="1">
      <alignment horizontal="center" vertical="center"/>
    </xf>
    <xf numFmtId="5" fontId="47" fillId="0" borderId="10" xfId="1" applyNumberFormat="1" applyFont="1" applyBorder="1" applyAlignment="1">
      <alignment horizontal="center" vertical="center"/>
    </xf>
    <xf numFmtId="5" fontId="47" fillId="0" borderId="23" xfId="1" applyNumberFormat="1" applyFont="1" applyBorder="1" applyAlignment="1">
      <alignment horizontal="center" vertical="center"/>
    </xf>
    <xf numFmtId="5" fontId="47" fillId="0" borderId="20" xfId="1" applyNumberFormat="1" applyFont="1" applyBorder="1" applyAlignment="1">
      <alignment horizontal="center" vertical="center"/>
    </xf>
    <xf numFmtId="0" fontId="49" fillId="0" borderId="2" xfId="16" applyFont="1" applyBorder="1" applyAlignment="1">
      <alignment horizontal="center" vertical="center" shrinkToFit="1"/>
    </xf>
    <xf numFmtId="0" fontId="49" fillId="0" borderId="7" xfId="16" applyFont="1" applyBorder="1" applyAlignment="1">
      <alignment horizontal="center" vertical="center" shrinkToFit="1"/>
    </xf>
    <xf numFmtId="0" fontId="49" fillId="0" borderId="6" xfId="16" applyFont="1" applyBorder="1" applyAlignment="1">
      <alignment horizontal="center" vertical="center" shrinkToFit="1"/>
    </xf>
    <xf numFmtId="5" fontId="50" fillId="0" borderId="2" xfId="16" applyNumberFormat="1" applyFont="1" applyBorder="1" applyAlignment="1">
      <alignment horizontal="center" vertical="center"/>
    </xf>
    <xf numFmtId="5" fontId="50" fillId="0" borderId="7" xfId="16" applyNumberFormat="1" applyFont="1" applyBorder="1" applyAlignment="1">
      <alignment horizontal="center" vertical="center"/>
    </xf>
    <xf numFmtId="5" fontId="50" fillId="0" borderId="8" xfId="16" applyNumberFormat="1" applyFont="1" applyBorder="1" applyAlignment="1">
      <alignment horizontal="center" vertical="center"/>
    </xf>
    <xf numFmtId="5" fontId="50" fillId="0" borderId="9" xfId="16" applyNumberFormat="1" applyFont="1" applyBorder="1" applyAlignment="1">
      <alignment horizontal="center" vertical="center"/>
    </xf>
    <xf numFmtId="5" fontId="50" fillId="0" borderId="6" xfId="16" applyNumberFormat="1" applyFont="1" applyBorder="1" applyAlignment="1">
      <alignment horizontal="center" vertical="center"/>
    </xf>
    <xf numFmtId="5" fontId="50" fillId="0" borderId="1" xfId="16" applyNumberFormat="1" applyFont="1" applyBorder="1" applyAlignment="1">
      <alignment horizontal="center" vertical="center"/>
    </xf>
    <xf numFmtId="176" fontId="51" fillId="0" borderId="2" xfId="16" applyNumberFormat="1" applyFont="1" applyBorder="1" applyAlignment="1">
      <alignment horizontal="center" vertical="center"/>
    </xf>
    <xf numFmtId="176" fontId="51" fillId="0" borderId="7" xfId="16" applyNumberFormat="1" applyFont="1" applyBorder="1" applyAlignment="1">
      <alignment horizontal="center" vertical="center"/>
    </xf>
    <xf numFmtId="176" fontId="51" fillId="0" borderId="8" xfId="16" applyNumberFormat="1" applyFont="1" applyBorder="1" applyAlignment="1">
      <alignment horizontal="center" vertical="center"/>
    </xf>
    <xf numFmtId="176" fontId="51" fillId="0" borderId="9" xfId="16" applyNumberFormat="1" applyFont="1" applyBorder="1" applyAlignment="1">
      <alignment horizontal="center" vertical="center"/>
    </xf>
    <xf numFmtId="0" fontId="6" fillId="3" borderId="29" xfId="1" applyFill="1" applyBorder="1" applyAlignment="1">
      <alignment horizontal="center" vertical="center"/>
    </xf>
    <xf numFmtId="0" fontId="6" fillId="3" borderId="30" xfId="1" applyFill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2" fillId="0" borderId="0" xfId="16" applyAlignment="1">
      <alignment horizontal="center" vertical="center"/>
    </xf>
    <xf numFmtId="0" fontId="46" fillId="0" borderId="10" xfId="1" applyFont="1" applyBorder="1" applyAlignment="1">
      <alignment horizontal="center" vertical="center"/>
    </xf>
    <xf numFmtId="0" fontId="46" fillId="0" borderId="23" xfId="1" applyFont="1" applyBorder="1" applyAlignment="1">
      <alignment horizontal="center" vertical="center"/>
    </xf>
    <xf numFmtId="0" fontId="46" fillId="0" borderId="20" xfId="1" applyFont="1" applyBorder="1" applyAlignment="1">
      <alignment horizontal="center" vertical="center"/>
    </xf>
    <xf numFmtId="0" fontId="6" fillId="0" borderId="28" xfId="1" applyBorder="1" applyAlignment="1">
      <alignment horizontal="center" vertical="center"/>
    </xf>
    <xf numFmtId="0" fontId="6" fillId="0" borderId="24" xfId="1" applyBorder="1" applyAlignment="1">
      <alignment horizontal="center" vertical="center"/>
    </xf>
    <xf numFmtId="0" fontId="6" fillId="0" borderId="29" xfId="1" applyBorder="1" applyAlignment="1">
      <alignment horizontal="center" vertical="center" shrinkToFit="1"/>
    </xf>
    <xf numFmtId="0" fontId="6" fillId="0" borderId="30" xfId="1" applyBorder="1" applyAlignment="1">
      <alignment horizontal="center" vertical="center" shrinkToFit="1"/>
    </xf>
    <xf numFmtId="0" fontId="6" fillId="0" borderId="32" xfId="1" applyBorder="1" applyAlignment="1">
      <alignment horizontal="center" vertical="center"/>
    </xf>
    <xf numFmtId="0" fontId="6" fillId="0" borderId="33" xfId="1" applyBorder="1" applyAlignment="1">
      <alignment horizontal="center" vertical="center"/>
    </xf>
    <xf numFmtId="2" fontId="6" fillId="0" borderId="28" xfId="1" applyNumberFormat="1" applyBorder="1" applyAlignment="1">
      <alignment horizontal="center" vertical="center"/>
    </xf>
    <xf numFmtId="2" fontId="6" fillId="0" borderId="24" xfId="1" applyNumberFormat="1" applyBorder="1" applyAlignment="1">
      <alignment horizontal="center" vertical="center"/>
    </xf>
    <xf numFmtId="0" fontId="6" fillId="0" borderId="35" xfId="1" applyBorder="1" applyAlignment="1">
      <alignment horizontal="center" vertical="center"/>
    </xf>
    <xf numFmtId="0" fontId="6" fillId="0" borderId="36" xfId="1" applyBorder="1" applyAlignment="1">
      <alignment horizontal="center" vertical="center"/>
    </xf>
    <xf numFmtId="0" fontId="6" fillId="0" borderId="4" xfId="1" applyBorder="1" applyAlignment="1">
      <alignment horizontal="center" vertical="center"/>
    </xf>
    <xf numFmtId="2" fontId="6" fillId="0" borderId="4" xfId="1" applyNumberFormat="1" applyBorder="1" applyAlignment="1">
      <alignment horizontal="center" vertical="center"/>
    </xf>
    <xf numFmtId="0" fontId="6" fillId="0" borderId="41" xfId="1" applyBorder="1" applyAlignment="1">
      <alignment horizontal="center" vertical="center"/>
    </xf>
    <xf numFmtId="0" fontId="6" fillId="0" borderId="42" xfId="1" applyBorder="1" applyAlignment="1">
      <alignment horizontal="center" vertical="center"/>
    </xf>
    <xf numFmtId="0" fontId="6" fillId="0" borderId="44" xfId="1" applyBorder="1" applyAlignment="1">
      <alignment horizontal="center" vertical="center"/>
    </xf>
    <xf numFmtId="0" fontId="6" fillId="0" borderId="45" xfId="1" applyBorder="1" applyAlignment="1">
      <alignment horizontal="center" vertical="center"/>
    </xf>
    <xf numFmtId="0" fontId="6" fillId="0" borderId="41" xfId="1" applyBorder="1">
      <alignment vertical="center"/>
    </xf>
    <xf numFmtId="0" fontId="6" fillId="0" borderId="42" xfId="1" applyBorder="1">
      <alignment vertical="center"/>
    </xf>
    <xf numFmtId="0" fontId="6" fillId="0" borderId="38" xfId="1" applyBorder="1" applyAlignment="1">
      <alignment horizontal="center" vertical="center"/>
    </xf>
    <xf numFmtId="0" fontId="6" fillId="0" borderId="39" xfId="1" applyBorder="1" applyAlignment="1">
      <alignment horizontal="center" vertical="center"/>
    </xf>
    <xf numFmtId="0" fontId="6" fillId="0" borderId="34" xfId="1" applyBorder="1" applyAlignment="1">
      <alignment horizontal="center" vertical="center"/>
    </xf>
    <xf numFmtId="0" fontId="6" fillId="0" borderId="37" xfId="1" applyBorder="1" applyAlignment="1">
      <alignment horizontal="center" vertical="center"/>
    </xf>
    <xf numFmtId="0" fontId="6" fillId="0" borderId="29" xfId="1" applyBorder="1" applyAlignment="1">
      <alignment horizontal="center" vertical="center"/>
    </xf>
    <xf numFmtId="0" fontId="6" fillId="0" borderId="30" xfId="1" applyBorder="1" applyAlignment="1">
      <alignment horizontal="center" vertical="center"/>
    </xf>
    <xf numFmtId="2" fontId="6" fillId="0" borderId="29" xfId="1" applyNumberFormat="1" applyBorder="1" applyAlignment="1">
      <alignment horizontal="center" vertical="center"/>
    </xf>
    <xf numFmtId="2" fontId="6" fillId="0" borderId="30" xfId="1" applyNumberFormat="1" applyBorder="1" applyAlignment="1">
      <alignment horizontal="center" vertical="center"/>
    </xf>
    <xf numFmtId="2" fontId="6" fillId="0" borderId="31" xfId="1" applyNumberFormat="1" applyBorder="1" applyAlignment="1">
      <alignment horizontal="center" vertical="center"/>
    </xf>
    <xf numFmtId="0" fontId="6" fillId="0" borderId="31" xfId="1" applyBorder="1" applyAlignment="1">
      <alignment horizontal="center" vertical="center"/>
    </xf>
    <xf numFmtId="0" fontId="40" fillId="0" borderId="0" xfId="1" applyFont="1" applyAlignment="1">
      <alignment horizontal="center" vertical="center"/>
    </xf>
  </cellXfs>
  <cellStyles count="17">
    <cellStyle name="パーセント 2" xfId="7" xr:uid="{BD092843-1317-4283-B328-2FD8F38EDF07}"/>
    <cellStyle name="パーセント 2 2 2" xfId="10" xr:uid="{92FA17D2-152B-488B-B4F3-EBBFE2732FF2}"/>
    <cellStyle name="桁区切り 2" xfId="5" xr:uid="{B96F5B31-E6BF-4875-B263-F9EA9C6DE613}"/>
    <cellStyle name="桁区切り 2 2" xfId="8" xr:uid="{3A040311-3BBD-4D30-967B-59B21E769DEC}"/>
    <cellStyle name="桁区切り 2 2 2" xfId="12" xr:uid="{96FEC366-A711-4165-8287-EAF236928B56}"/>
    <cellStyle name="通貨 2" xfId="6" xr:uid="{84D59235-A2ED-42A8-8B7C-4C1ED1754A67}"/>
    <cellStyle name="通貨 2 2" xfId="9" xr:uid="{353856E0-F3EC-44EA-8785-F8AB7F30AB85}"/>
    <cellStyle name="標準" xfId="0" builtinId="0"/>
    <cellStyle name="標準 2" xfId="1" xr:uid="{6467A809-BB52-4BBF-AE9F-4ECF83BE2652}"/>
    <cellStyle name="標準 2 2 2" xfId="11" xr:uid="{9DA10506-EF32-47D3-9DAE-A301F4F0966A}"/>
    <cellStyle name="標準 2 3" xfId="4" xr:uid="{0D54CC00-F131-4017-A2BD-974954D14FF7}"/>
    <cellStyle name="標準 2_39183B 2 2 2 2" xfId="3" xr:uid="{CD7D1F05-89DC-47C3-8D85-82FF9732FFAA}"/>
    <cellStyle name="標準 2_39183B 2 2 2 2 2" xfId="16" xr:uid="{FBB26493-1DC7-457E-80E0-F1F1D451465D}"/>
    <cellStyle name="標準 2_新梶原見積もり7.21 2 2 2 2 2" xfId="15" xr:uid="{4F3C7629-F653-4FDB-8856-26666B87C013}"/>
    <cellStyle name="標準 3" xfId="13" xr:uid="{2483C55A-8F53-4218-8329-F235590DC68E}"/>
    <cellStyle name="標準 3 2_新梶原見積もり7.21 2 2 2 2 2" xfId="2" xr:uid="{1556D194-FD36-4CD1-9813-491BA265472A}"/>
    <cellStyle name="標準 4" xfId="14" xr:uid="{028086FB-9686-419E-B9C7-612783C2BE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2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1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9.png"/><Relationship Id="rId5" Type="http://schemas.openxmlformats.org/officeDocument/2006/relationships/image" Target="../media/image16.png"/><Relationship Id="rId15" Type="http://schemas.openxmlformats.org/officeDocument/2006/relationships/image" Target="../media/image24.png"/><Relationship Id="rId10" Type="http://schemas.openxmlformats.org/officeDocument/2006/relationships/image" Target="../media/image20.png"/><Relationship Id="rId4" Type="http://schemas.openxmlformats.org/officeDocument/2006/relationships/image" Target="../media/image15.png"/><Relationship Id="rId9" Type="http://schemas.openxmlformats.org/officeDocument/2006/relationships/image" Target="../media/image11.png"/><Relationship Id="rId1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285750</xdr:colOff>
      <xdr:row>53</xdr:row>
      <xdr:rowOff>66675</xdr:rowOff>
    </xdr:from>
    <xdr:to>
      <xdr:col>17</xdr:col>
      <xdr:colOff>609600</xdr:colOff>
      <xdr:row>53</xdr:row>
      <xdr:rowOff>228600</xdr:rowOff>
    </xdr:to>
    <xdr:pic>
      <xdr:nvPicPr>
        <xdr:cNvPr id="2" name="Picture 1" descr="コンロンロゴ">
          <a:extLst>
            <a:ext uri="{FF2B5EF4-FFF2-40B4-BE49-F238E27FC236}">
              <a16:creationId xmlns:a16="http://schemas.microsoft.com/office/drawing/2014/main" id="{664E5D8B-08F0-4BB2-BB01-F9105150E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11972925"/>
          <a:ext cx="1057275" cy="161925"/>
        </a:xfrm>
        <a:prstGeom prst="rec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419100</xdr:colOff>
      <xdr:row>53</xdr:row>
      <xdr:rowOff>76200</xdr:rowOff>
    </xdr:from>
    <xdr:to>
      <xdr:col>15</xdr:col>
      <xdr:colOff>190500</xdr:colOff>
      <xdr:row>53</xdr:row>
      <xdr:rowOff>266700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87BA3A-5070-41E0-A772-09420BA20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98245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57150</xdr:colOff>
      <xdr:row>11</xdr:row>
      <xdr:rowOff>0</xdr:rowOff>
    </xdr:from>
    <xdr:to>
      <xdr:col>17</xdr:col>
      <xdr:colOff>380999</xdr:colOff>
      <xdr:row>12</xdr:row>
      <xdr:rowOff>19050</xdr:rowOff>
    </xdr:to>
    <xdr:sp macro="" textlink="">
      <xdr:nvSpPr>
        <xdr:cNvPr id="4" name="円/楕円 9">
          <a:extLst>
            <a:ext uri="{FF2B5EF4-FFF2-40B4-BE49-F238E27FC236}">
              <a16:creationId xmlns:a16="http://schemas.microsoft.com/office/drawing/2014/main" id="{5728F62D-21DA-4F1A-A2F4-D871C6ECBC96}"/>
            </a:ext>
          </a:extLst>
        </xdr:cNvPr>
        <xdr:cNvSpPr/>
      </xdr:nvSpPr>
      <xdr:spPr>
        <a:xfrm>
          <a:off x="6696075" y="242887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7</xdr:col>
      <xdr:colOff>171450</xdr:colOff>
      <xdr:row>52</xdr:row>
      <xdr:rowOff>238124</xdr:rowOff>
    </xdr:from>
    <xdr:to>
      <xdr:col>8</xdr:col>
      <xdr:colOff>95249</xdr:colOff>
      <xdr:row>52</xdr:row>
      <xdr:rowOff>409575</xdr:rowOff>
    </xdr:to>
    <xdr:sp macro="" textlink="">
      <xdr:nvSpPr>
        <xdr:cNvPr id="5" name="円/楕円 13">
          <a:extLst>
            <a:ext uri="{FF2B5EF4-FFF2-40B4-BE49-F238E27FC236}">
              <a16:creationId xmlns:a16="http://schemas.microsoft.com/office/drawing/2014/main" id="{301C74DA-4FB5-4973-AC69-64BA5D715AB4}"/>
            </a:ext>
          </a:extLst>
        </xdr:cNvPr>
        <xdr:cNvSpPr/>
      </xdr:nvSpPr>
      <xdr:spPr>
        <a:xfrm>
          <a:off x="3276600" y="11477624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180975</xdr:colOff>
      <xdr:row>52</xdr:row>
      <xdr:rowOff>247650</xdr:rowOff>
    </xdr:from>
    <xdr:to>
      <xdr:col>10</xdr:col>
      <xdr:colOff>104774</xdr:colOff>
      <xdr:row>52</xdr:row>
      <xdr:rowOff>419101</xdr:rowOff>
    </xdr:to>
    <xdr:sp macro="" textlink="">
      <xdr:nvSpPr>
        <xdr:cNvPr id="6" name="円/楕円 15">
          <a:extLst>
            <a:ext uri="{FF2B5EF4-FFF2-40B4-BE49-F238E27FC236}">
              <a16:creationId xmlns:a16="http://schemas.microsoft.com/office/drawing/2014/main" id="{B7642AEE-083D-4580-8BD9-B96912CAB8E7}"/>
            </a:ext>
          </a:extLst>
        </xdr:cNvPr>
        <xdr:cNvSpPr/>
      </xdr:nvSpPr>
      <xdr:spPr>
        <a:xfrm>
          <a:off x="3962400" y="1148715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19050</xdr:colOff>
      <xdr:row>52</xdr:row>
      <xdr:rowOff>257175</xdr:rowOff>
    </xdr:from>
    <xdr:to>
      <xdr:col>13</xdr:col>
      <xdr:colOff>0</xdr:colOff>
      <xdr:row>52</xdr:row>
      <xdr:rowOff>419100</xdr:rowOff>
    </xdr:to>
    <xdr:sp macro="" textlink="">
      <xdr:nvSpPr>
        <xdr:cNvPr id="7" name="円/楕円 16">
          <a:extLst>
            <a:ext uri="{FF2B5EF4-FFF2-40B4-BE49-F238E27FC236}">
              <a16:creationId xmlns:a16="http://schemas.microsoft.com/office/drawing/2014/main" id="{DF7DA422-B647-4C5A-991F-E26ED1DC30B8}"/>
            </a:ext>
          </a:extLst>
        </xdr:cNvPr>
        <xdr:cNvSpPr/>
      </xdr:nvSpPr>
      <xdr:spPr>
        <a:xfrm>
          <a:off x="4495800" y="11496675"/>
          <a:ext cx="695325" cy="1619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85725</xdr:colOff>
      <xdr:row>10</xdr:row>
      <xdr:rowOff>9525</xdr:rowOff>
    </xdr:from>
    <xdr:to>
      <xdr:col>14</xdr:col>
      <xdr:colOff>152399</xdr:colOff>
      <xdr:row>11</xdr:row>
      <xdr:rowOff>28575</xdr:rowOff>
    </xdr:to>
    <xdr:sp macro="" textlink="">
      <xdr:nvSpPr>
        <xdr:cNvPr id="8" name="円/楕円 10">
          <a:extLst>
            <a:ext uri="{FF2B5EF4-FFF2-40B4-BE49-F238E27FC236}">
              <a16:creationId xmlns:a16="http://schemas.microsoft.com/office/drawing/2014/main" id="{6B358448-3835-409E-BD3C-632C834110AC}"/>
            </a:ext>
          </a:extLst>
        </xdr:cNvPr>
        <xdr:cNvSpPr/>
      </xdr:nvSpPr>
      <xdr:spPr>
        <a:xfrm>
          <a:off x="5276850" y="221932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95250</xdr:colOff>
      <xdr:row>12</xdr:row>
      <xdr:rowOff>190500</xdr:rowOff>
    </xdr:from>
    <xdr:to>
      <xdr:col>17</xdr:col>
      <xdr:colOff>419099</xdr:colOff>
      <xdr:row>13</xdr:row>
      <xdr:rowOff>209550</xdr:rowOff>
    </xdr:to>
    <xdr:sp macro="" textlink="">
      <xdr:nvSpPr>
        <xdr:cNvPr id="9" name="円/楕円 11">
          <a:extLst>
            <a:ext uri="{FF2B5EF4-FFF2-40B4-BE49-F238E27FC236}">
              <a16:creationId xmlns:a16="http://schemas.microsoft.com/office/drawing/2014/main" id="{B29B6290-904A-497C-8069-2157818E0D42}"/>
            </a:ext>
          </a:extLst>
        </xdr:cNvPr>
        <xdr:cNvSpPr/>
      </xdr:nvSpPr>
      <xdr:spPr>
        <a:xfrm>
          <a:off x="6734175" y="2838450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A93CFED8-D2A8-4885-901F-2168762D9802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3</xdr:col>
      <xdr:colOff>171450</xdr:colOff>
      <xdr:row>12</xdr:row>
      <xdr:rowOff>190500</xdr:rowOff>
    </xdr:from>
    <xdr:to>
      <xdr:col>3</xdr:col>
      <xdr:colOff>466724</xdr:colOff>
      <xdr:row>13</xdr:row>
      <xdr:rowOff>209550</xdr:rowOff>
    </xdr:to>
    <xdr:sp macro="" textlink="">
      <xdr:nvSpPr>
        <xdr:cNvPr id="11" name="円/楕円 5">
          <a:extLst>
            <a:ext uri="{FF2B5EF4-FFF2-40B4-BE49-F238E27FC236}">
              <a16:creationId xmlns:a16="http://schemas.microsoft.com/office/drawing/2014/main" id="{C6D4D516-1ED4-44FB-BB2F-A905A6231F31}"/>
            </a:ext>
          </a:extLst>
        </xdr:cNvPr>
        <xdr:cNvSpPr/>
      </xdr:nvSpPr>
      <xdr:spPr>
        <a:xfrm>
          <a:off x="1133475" y="2838450"/>
          <a:ext cx="295274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oneCellAnchor>
    <xdr:from>
      <xdr:col>13</xdr:col>
      <xdr:colOff>131470</xdr:colOff>
      <xdr:row>26</xdr:row>
      <xdr:rowOff>175223</xdr:rowOff>
    </xdr:from>
    <xdr:ext cx="184731" cy="248851"/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78DE28A-6D98-4F1C-91BF-AB0F7DF38729}"/>
            </a:ext>
          </a:extLst>
        </xdr:cNvPr>
        <xdr:cNvSpPr/>
      </xdr:nvSpPr>
      <xdr:spPr>
        <a:xfrm>
          <a:off x="5322595" y="5890223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117844</xdr:colOff>
      <xdr:row>35</xdr:row>
      <xdr:rowOff>171450</xdr:rowOff>
    </xdr:from>
    <xdr:ext cx="184731" cy="248851"/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233E2515-FFFF-43FE-BDDA-EEC6BFFA27A3}"/>
            </a:ext>
          </a:extLst>
        </xdr:cNvPr>
        <xdr:cNvSpPr/>
      </xdr:nvSpPr>
      <xdr:spPr>
        <a:xfrm>
          <a:off x="5308969" y="7858125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223777</xdr:colOff>
      <xdr:row>25</xdr:row>
      <xdr:rowOff>161925</xdr:rowOff>
    </xdr:from>
    <xdr:ext cx="184731" cy="280205"/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B18A1A26-BBC2-4BD7-A2FB-2DAA532B616D}"/>
            </a:ext>
          </a:extLst>
        </xdr:cNvPr>
        <xdr:cNvSpPr/>
      </xdr:nvSpPr>
      <xdr:spPr>
        <a:xfrm>
          <a:off x="6500752" y="5657850"/>
          <a:ext cx="184731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200" b="0" cap="none" spc="0">
            <a:ln w="0">
              <a:solidFill>
                <a:srgbClr val="FF0000"/>
              </a:solidFill>
            </a:ln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138053</xdr:colOff>
      <xdr:row>34</xdr:row>
      <xdr:rowOff>142875</xdr:rowOff>
    </xdr:from>
    <xdr:ext cx="184731" cy="280205"/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90CD1DC-4EB1-4918-B679-F8AEEFFB3FEE}"/>
            </a:ext>
          </a:extLst>
        </xdr:cNvPr>
        <xdr:cNvSpPr/>
      </xdr:nvSpPr>
      <xdr:spPr>
        <a:xfrm>
          <a:off x="5329178" y="7610475"/>
          <a:ext cx="184731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200" b="0" cap="none" spc="0">
            <a:ln w="0">
              <a:solidFill>
                <a:srgbClr val="FF0000"/>
              </a:solidFill>
            </a:ln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54B0AE7-C75F-4456-9514-71833926AF0E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131469</xdr:colOff>
      <xdr:row>26</xdr:row>
      <xdr:rowOff>175223</xdr:rowOff>
    </xdr:from>
    <xdr:ext cx="184731" cy="248851"/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9139F60C-4258-4350-8E96-CC024C1ED2AF}"/>
            </a:ext>
          </a:extLst>
        </xdr:cNvPr>
        <xdr:cNvSpPr/>
      </xdr:nvSpPr>
      <xdr:spPr>
        <a:xfrm>
          <a:off x="5322594" y="5890223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230625</xdr:colOff>
      <xdr:row>26</xdr:row>
      <xdr:rowOff>171450</xdr:rowOff>
    </xdr:from>
    <xdr:ext cx="184731" cy="248851"/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D793644-D612-418A-9135-4CEBE96D52DE}"/>
            </a:ext>
          </a:extLst>
        </xdr:cNvPr>
        <xdr:cNvSpPr/>
      </xdr:nvSpPr>
      <xdr:spPr>
        <a:xfrm>
          <a:off x="6507600" y="5886450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27</xdr:row>
      <xdr:rowOff>65685</xdr:rowOff>
    </xdr:from>
    <xdr:ext cx="184731" cy="374141"/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58DA540-1269-4619-B871-BF7BBFD1D647}"/>
            </a:ext>
          </a:extLst>
        </xdr:cNvPr>
        <xdr:cNvSpPr/>
      </xdr:nvSpPr>
      <xdr:spPr>
        <a:xfrm>
          <a:off x="5589298" y="599976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131470</xdr:colOff>
      <xdr:row>27</xdr:row>
      <xdr:rowOff>175223</xdr:rowOff>
    </xdr:from>
    <xdr:ext cx="184731" cy="248851"/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46695BD6-8EB1-470D-BE0B-B955D1463484}"/>
            </a:ext>
          </a:extLst>
        </xdr:cNvPr>
        <xdr:cNvSpPr/>
      </xdr:nvSpPr>
      <xdr:spPr>
        <a:xfrm>
          <a:off x="5322595" y="6109298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223777</xdr:colOff>
      <xdr:row>26</xdr:row>
      <xdr:rowOff>161925</xdr:rowOff>
    </xdr:from>
    <xdr:ext cx="184731" cy="280205"/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7FBCA7AD-CCE4-4329-B936-7C0D01560ADA}"/>
            </a:ext>
          </a:extLst>
        </xdr:cNvPr>
        <xdr:cNvSpPr/>
      </xdr:nvSpPr>
      <xdr:spPr>
        <a:xfrm>
          <a:off x="6500752" y="5876925"/>
          <a:ext cx="184731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200" b="0" cap="none" spc="0">
            <a:ln w="0">
              <a:solidFill>
                <a:srgbClr val="FF0000"/>
              </a:solidFill>
            </a:ln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27</xdr:row>
      <xdr:rowOff>65685</xdr:rowOff>
    </xdr:from>
    <xdr:ext cx="184731" cy="374141"/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08AED13-5912-4651-A452-17557BB14971}"/>
            </a:ext>
          </a:extLst>
        </xdr:cNvPr>
        <xdr:cNvSpPr/>
      </xdr:nvSpPr>
      <xdr:spPr>
        <a:xfrm>
          <a:off x="5589298" y="599976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131469</xdr:colOff>
      <xdr:row>27</xdr:row>
      <xdr:rowOff>175223</xdr:rowOff>
    </xdr:from>
    <xdr:ext cx="184731" cy="248851"/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F3270A4-73B4-4EB8-A27F-5E4B0E039514}"/>
            </a:ext>
          </a:extLst>
        </xdr:cNvPr>
        <xdr:cNvSpPr/>
      </xdr:nvSpPr>
      <xdr:spPr>
        <a:xfrm>
          <a:off x="5322594" y="6109298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230625</xdr:colOff>
      <xdr:row>27</xdr:row>
      <xdr:rowOff>171450</xdr:rowOff>
    </xdr:from>
    <xdr:ext cx="184731" cy="248851"/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41DC5A2F-6D74-46CA-B39D-227488A59973}"/>
            </a:ext>
          </a:extLst>
        </xdr:cNvPr>
        <xdr:cNvSpPr/>
      </xdr:nvSpPr>
      <xdr:spPr>
        <a:xfrm>
          <a:off x="6507600" y="6105525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BDE42D0-84AF-4818-9AC6-D5A0409934E5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131470</xdr:colOff>
      <xdr:row>26</xdr:row>
      <xdr:rowOff>175223</xdr:rowOff>
    </xdr:from>
    <xdr:ext cx="184731" cy="248851"/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95BA2E2A-183B-40D5-974B-1E77D23B1F78}"/>
            </a:ext>
          </a:extLst>
        </xdr:cNvPr>
        <xdr:cNvSpPr/>
      </xdr:nvSpPr>
      <xdr:spPr>
        <a:xfrm>
          <a:off x="5322595" y="5890223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223777</xdr:colOff>
      <xdr:row>25</xdr:row>
      <xdr:rowOff>161925</xdr:rowOff>
    </xdr:from>
    <xdr:ext cx="184731" cy="280205"/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F714FE9C-DBDF-484D-8ACB-0E1A6DF92692}"/>
            </a:ext>
          </a:extLst>
        </xdr:cNvPr>
        <xdr:cNvSpPr/>
      </xdr:nvSpPr>
      <xdr:spPr>
        <a:xfrm>
          <a:off x="6500752" y="5657850"/>
          <a:ext cx="184731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200" b="0" cap="none" spc="0">
            <a:ln w="0">
              <a:solidFill>
                <a:srgbClr val="FF0000"/>
              </a:solidFill>
            </a:ln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2E8E0258-A596-49A1-885C-B6C66E94B016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131469</xdr:colOff>
      <xdr:row>26</xdr:row>
      <xdr:rowOff>175223</xdr:rowOff>
    </xdr:from>
    <xdr:ext cx="184731" cy="248851"/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5CD5E96E-D4E0-4F1D-8A30-308E4A35CC05}"/>
            </a:ext>
          </a:extLst>
        </xdr:cNvPr>
        <xdr:cNvSpPr/>
      </xdr:nvSpPr>
      <xdr:spPr>
        <a:xfrm>
          <a:off x="5322594" y="5890223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230625</xdr:colOff>
      <xdr:row>26</xdr:row>
      <xdr:rowOff>171450</xdr:rowOff>
    </xdr:from>
    <xdr:ext cx="184731" cy="248851"/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6D108D28-2753-4414-A2C4-F36C7D7D00CB}"/>
            </a:ext>
          </a:extLst>
        </xdr:cNvPr>
        <xdr:cNvSpPr/>
      </xdr:nvSpPr>
      <xdr:spPr>
        <a:xfrm>
          <a:off x="6507600" y="5886450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27</xdr:row>
      <xdr:rowOff>65685</xdr:rowOff>
    </xdr:from>
    <xdr:ext cx="184731" cy="374141"/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983D1ACD-5D05-4C4D-AE3C-CFD656875BF6}"/>
            </a:ext>
          </a:extLst>
        </xdr:cNvPr>
        <xdr:cNvSpPr/>
      </xdr:nvSpPr>
      <xdr:spPr>
        <a:xfrm>
          <a:off x="5589298" y="599976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131470</xdr:colOff>
      <xdr:row>27</xdr:row>
      <xdr:rowOff>175223</xdr:rowOff>
    </xdr:from>
    <xdr:ext cx="184731" cy="248851"/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C4BE731F-FF26-4894-ACFF-670180D814AE}"/>
            </a:ext>
          </a:extLst>
        </xdr:cNvPr>
        <xdr:cNvSpPr/>
      </xdr:nvSpPr>
      <xdr:spPr>
        <a:xfrm>
          <a:off x="5322595" y="6109298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223777</xdr:colOff>
      <xdr:row>26</xdr:row>
      <xdr:rowOff>161925</xdr:rowOff>
    </xdr:from>
    <xdr:ext cx="184731" cy="280205"/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EF4EDE8D-50EE-4A4D-B4F2-CF74ED840483}"/>
            </a:ext>
          </a:extLst>
        </xdr:cNvPr>
        <xdr:cNvSpPr/>
      </xdr:nvSpPr>
      <xdr:spPr>
        <a:xfrm>
          <a:off x="6500752" y="5876925"/>
          <a:ext cx="184731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200" b="0" cap="none" spc="0">
            <a:ln w="0">
              <a:solidFill>
                <a:srgbClr val="FF0000"/>
              </a:solidFill>
            </a:ln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27</xdr:row>
      <xdr:rowOff>65685</xdr:rowOff>
    </xdr:from>
    <xdr:ext cx="184731" cy="374141"/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82126E7B-9802-4D31-89A9-E372BDF118D6}"/>
            </a:ext>
          </a:extLst>
        </xdr:cNvPr>
        <xdr:cNvSpPr/>
      </xdr:nvSpPr>
      <xdr:spPr>
        <a:xfrm>
          <a:off x="5589298" y="599976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131469</xdr:colOff>
      <xdr:row>27</xdr:row>
      <xdr:rowOff>175223</xdr:rowOff>
    </xdr:from>
    <xdr:ext cx="184731" cy="248851"/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D0C13583-2293-4AC3-842F-0C3C337D3199}"/>
            </a:ext>
          </a:extLst>
        </xdr:cNvPr>
        <xdr:cNvSpPr/>
      </xdr:nvSpPr>
      <xdr:spPr>
        <a:xfrm>
          <a:off x="5322594" y="6109298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230625</xdr:colOff>
      <xdr:row>27</xdr:row>
      <xdr:rowOff>171450</xdr:rowOff>
    </xdr:from>
    <xdr:ext cx="184731" cy="248851"/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C9E8B56D-4E7E-43B9-B358-19E8B661C46B}"/>
            </a:ext>
          </a:extLst>
        </xdr:cNvPr>
        <xdr:cNvSpPr/>
      </xdr:nvSpPr>
      <xdr:spPr>
        <a:xfrm>
          <a:off x="6507600" y="6105525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131470</xdr:colOff>
      <xdr:row>25</xdr:row>
      <xdr:rowOff>175223</xdr:rowOff>
    </xdr:from>
    <xdr:ext cx="184731" cy="248851"/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B5B7B08C-36B7-45AC-AB26-2330A4CD586A}"/>
            </a:ext>
          </a:extLst>
        </xdr:cNvPr>
        <xdr:cNvSpPr/>
      </xdr:nvSpPr>
      <xdr:spPr>
        <a:xfrm>
          <a:off x="5322595" y="5671148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223777</xdr:colOff>
      <xdr:row>24</xdr:row>
      <xdr:rowOff>161925</xdr:rowOff>
    </xdr:from>
    <xdr:ext cx="184731" cy="280205"/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7CDADC53-718B-4898-89AF-83F08CFF6257}"/>
            </a:ext>
          </a:extLst>
        </xdr:cNvPr>
        <xdr:cNvSpPr/>
      </xdr:nvSpPr>
      <xdr:spPr>
        <a:xfrm>
          <a:off x="6500752" y="5438775"/>
          <a:ext cx="184731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200" b="0" cap="none" spc="0">
            <a:ln w="0">
              <a:solidFill>
                <a:srgbClr val="FF0000"/>
              </a:solidFill>
            </a:ln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13</xdr:col>
      <xdr:colOff>131469</xdr:colOff>
      <xdr:row>25</xdr:row>
      <xdr:rowOff>175223</xdr:rowOff>
    </xdr:from>
    <xdr:ext cx="184731" cy="248851"/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45AE1375-31A3-4090-9F40-A79CF67BE5E1}"/>
            </a:ext>
          </a:extLst>
        </xdr:cNvPr>
        <xdr:cNvSpPr/>
      </xdr:nvSpPr>
      <xdr:spPr>
        <a:xfrm>
          <a:off x="5322594" y="5671148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230625</xdr:colOff>
      <xdr:row>25</xdr:row>
      <xdr:rowOff>171450</xdr:rowOff>
    </xdr:from>
    <xdr:ext cx="184731" cy="248851"/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C5BFF0CF-0F4B-4752-A6DE-CFC93954654C}"/>
            </a:ext>
          </a:extLst>
        </xdr:cNvPr>
        <xdr:cNvSpPr/>
      </xdr:nvSpPr>
      <xdr:spPr>
        <a:xfrm>
          <a:off x="6507600" y="5667375"/>
          <a:ext cx="184731" cy="24885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0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8</xdr:col>
      <xdr:colOff>0</xdr:colOff>
      <xdr:row>8</xdr:row>
      <xdr:rowOff>0</xdr:rowOff>
    </xdr:from>
    <xdr:to>
      <xdr:col>17</xdr:col>
      <xdr:colOff>619125</xdr:colOff>
      <xdr:row>8</xdr:row>
      <xdr:rowOff>209550</xdr:rowOff>
    </xdr:to>
    <xdr:pic>
      <xdr:nvPicPr>
        <xdr:cNvPr id="41" name="Picture 1">
          <a:extLst>
            <a:ext uri="{FF2B5EF4-FFF2-40B4-BE49-F238E27FC236}">
              <a16:creationId xmlns:a16="http://schemas.microsoft.com/office/drawing/2014/main" id="{50B35B50-9B76-430D-9849-3549BEAE8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1771650"/>
          <a:ext cx="3829050" cy="2095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513706</xdr:colOff>
      <xdr:row>5</xdr:row>
      <xdr:rowOff>32108</xdr:rowOff>
    </xdr:from>
    <xdr:to>
      <xdr:col>8</xdr:col>
      <xdr:colOff>328967</xdr:colOff>
      <xdr:row>9</xdr:row>
      <xdr:rowOff>134598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E2F62EB-12B3-F5FA-3E34-0B607472E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8313" y="1220057"/>
          <a:ext cx="500205" cy="1044288"/>
        </a:xfrm>
        <a:prstGeom prst="rect">
          <a:avLst/>
        </a:prstGeom>
      </xdr:spPr>
    </xdr:pic>
    <xdr:clientData/>
  </xdr:twoCellAnchor>
  <xdr:twoCellAnchor editAs="oneCell">
    <xdr:from>
      <xdr:col>0</xdr:col>
      <xdr:colOff>481200</xdr:colOff>
      <xdr:row>2</xdr:row>
      <xdr:rowOff>64615</xdr:rowOff>
    </xdr:from>
    <xdr:to>
      <xdr:col>2</xdr:col>
      <xdr:colOff>376051</xdr:colOff>
      <xdr:row>9</xdr:row>
      <xdr:rowOff>139131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C7CADAF-95F1-7836-B1E2-AA1C1D10F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252239" y="775177"/>
          <a:ext cx="1722662" cy="1264739"/>
        </a:xfrm>
        <a:prstGeom prst="rect">
          <a:avLst/>
        </a:prstGeom>
      </xdr:spPr>
    </xdr:pic>
    <xdr:clientData/>
  </xdr:twoCellAnchor>
  <xdr:twoCellAnchor editAs="oneCell">
    <xdr:from>
      <xdr:col>3</xdr:col>
      <xdr:colOff>646340</xdr:colOff>
      <xdr:row>2</xdr:row>
      <xdr:rowOff>96330</xdr:rowOff>
    </xdr:from>
    <xdr:to>
      <xdr:col>5</xdr:col>
      <xdr:colOff>551486</xdr:colOff>
      <xdr:row>9</xdr:row>
      <xdr:rowOff>112079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DCF6A63-CFD4-80B0-7D6F-FB34B849D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2487851" y="791251"/>
          <a:ext cx="1663895" cy="1237255"/>
        </a:xfrm>
        <a:prstGeom prst="rect">
          <a:avLst/>
        </a:prstGeom>
      </xdr:spPr>
    </xdr:pic>
    <xdr:clientData/>
  </xdr:twoCellAnchor>
  <xdr:twoCellAnchor>
    <xdr:from>
      <xdr:col>9</xdr:col>
      <xdr:colOff>417387</xdr:colOff>
      <xdr:row>8</xdr:row>
      <xdr:rowOff>149832</xdr:rowOff>
    </xdr:from>
    <xdr:to>
      <xdr:col>10</xdr:col>
      <xdr:colOff>470898</xdr:colOff>
      <xdr:row>9</xdr:row>
      <xdr:rowOff>149833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46C5B93-A8E2-D77E-0C75-0574DDF83145}"/>
            </a:ext>
          </a:extLst>
        </xdr:cNvPr>
        <xdr:cNvSpPr/>
      </xdr:nvSpPr>
      <xdr:spPr>
        <a:xfrm>
          <a:off x="6453454" y="2044130"/>
          <a:ext cx="738455" cy="2354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Lox OP-A</a:t>
          </a:r>
          <a:endParaRPr kumimoji="1" lang="ja-JP" altLang="en-US" sz="1100"/>
        </a:p>
      </xdr:txBody>
    </xdr:sp>
    <xdr:clientData/>
  </xdr:twoCellAnchor>
  <xdr:twoCellAnchor editAs="oneCell">
    <xdr:from>
      <xdr:col>1</xdr:col>
      <xdr:colOff>74917</xdr:colOff>
      <xdr:row>9</xdr:row>
      <xdr:rowOff>171237</xdr:rowOff>
    </xdr:from>
    <xdr:to>
      <xdr:col>2</xdr:col>
      <xdr:colOff>154914</xdr:colOff>
      <xdr:row>10</xdr:row>
      <xdr:rowOff>219343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2C11431-95D0-04F3-B82F-010E5CE4F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9861" y="2300984"/>
          <a:ext cx="764941" cy="283556"/>
        </a:xfrm>
        <a:prstGeom prst="rect">
          <a:avLst/>
        </a:prstGeom>
      </xdr:spPr>
    </xdr:pic>
    <xdr:clientData/>
  </xdr:twoCellAnchor>
  <xdr:twoCellAnchor editAs="oneCell">
    <xdr:from>
      <xdr:col>4</xdr:col>
      <xdr:colOff>42808</xdr:colOff>
      <xdr:row>9</xdr:row>
      <xdr:rowOff>165184</xdr:rowOff>
    </xdr:from>
    <xdr:to>
      <xdr:col>5</xdr:col>
      <xdr:colOff>139128</xdr:colOff>
      <xdr:row>10</xdr:row>
      <xdr:rowOff>219341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7179951-F8D3-0453-9CEE-86BCFF22B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82583" y="2294931"/>
          <a:ext cx="781264" cy="289607"/>
        </a:xfrm>
        <a:prstGeom prst="rect">
          <a:avLst/>
        </a:prstGeom>
      </xdr:spPr>
    </xdr:pic>
    <xdr:clientData/>
  </xdr:twoCellAnchor>
  <xdr:twoCellAnchor editAs="oneCell">
    <xdr:from>
      <xdr:col>7</xdr:col>
      <xdr:colOff>417387</xdr:colOff>
      <xdr:row>9</xdr:row>
      <xdr:rowOff>214045</xdr:rowOff>
    </xdr:from>
    <xdr:to>
      <xdr:col>8</xdr:col>
      <xdr:colOff>439640</xdr:colOff>
      <xdr:row>11</xdr:row>
      <xdr:rowOff>5297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E383722B-67A2-3741-8A13-F40D5267D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11994" y="2343792"/>
          <a:ext cx="707197" cy="262151"/>
        </a:xfrm>
        <a:prstGeom prst="rect">
          <a:avLst/>
        </a:prstGeom>
      </xdr:spPr>
    </xdr:pic>
    <xdr:clientData/>
  </xdr:twoCellAnchor>
  <xdr:twoCellAnchor editAs="oneCell">
    <xdr:from>
      <xdr:col>6</xdr:col>
      <xdr:colOff>149832</xdr:colOff>
      <xdr:row>6</xdr:row>
      <xdr:rowOff>203343</xdr:rowOff>
    </xdr:from>
    <xdr:to>
      <xdr:col>7</xdr:col>
      <xdr:colOff>104624</xdr:colOff>
      <xdr:row>10</xdr:row>
      <xdr:rowOff>17515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ECF6D7F-3A45-5688-7435-34CD1F3AC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20214352">
          <a:off x="4002641" y="1626742"/>
          <a:ext cx="768163" cy="755970"/>
        </a:xfrm>
        <a:prstGeom prst="rect">
          <a:avLst/>
        </a:prstGeom>
      </xdr:spPr>
    </xdr:pic>
    <xdr:clientData/>
  </xdr:twoCellAnchor>
  <xdr:twoCellAnchor editAs="oneCell">
    <xdr:from>
      <xdr:col>6</xdr:col>
      <xdr:colOff>256854</xdr:colOff>
      <xdr:row>9</xdr:row>
      <xdr:rowOff>203344</xdr:rowOff>
    </xdr:from>
    <xdr:to>
      <xdr:col>7</xdr:col>
      <xdr:colOff>22653</xdr:colOff>
      <xdr:row>11</xdr:row>
      <xdr:rowOff>692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FDDDB325-ED48-01B8-A56A-72CC76EEE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09663" y="2333091"/>
          <a:ext cx="579170" cy="2682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3</xdr:row>
      <xdr:rowOff>16835</xdr:rowOff>
    </xdr:from>
    <xdr:to>
      <xdr:col>36</xdr:col>
      <xdr:colOff>0</xdr:colOff>
      <xdr:row>30</xdr:row>
      <xdr:rowOff>38099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23930E8-20DD-442E-A9A3-660073257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426410"/>
          <a:ext cx="3724275" cy="2078664"/>
        </a:xfrm>
        <a:prstGeom prst="rect">
          <a:avLst/>
        </a:prstGeom>
      </xdr:spPr>
    </xdr:pic>
    <xdr:clientData/>
  </xdr:twoCellAnchor>
  <xdr:twoCellAnchor editAs="oneCell">
    <xdr:from>
      <xdr:col>10</xdr:col>
      <xdr:colOff>27189</xdr:colOff>
      <xdr:row>60</xdr:row>
      <xdr:rowOff>49425</xdr:rowOff>
    </xdr:from>
    <xdr:to>
      <xdr:col>27</xdr:col>
      <xdr:colOff>117757</xdr:colOff>
      <xdr:row>78</xdr:row>
      <xdr:rowOff>70132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A3D0E33-7E0D-49B9-AC53-E99534FE7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843294" y="4672220"/>
          <a:ext cx="1392307" cy="2357518"/>
        </a:xfrm>
        <a:prstGeom prst="rect">
          <a:avLst/>
        </a:prstGeom>
      </xdr:spPr>
    </xdr:pic>
    <xdr:clientData/>
  </xdr:twoCellAnchor>
  <xdr:twoCellAnchor>
    <xdr:from>
      <xdr:col>14</xdr:col>
      <xdr:colOff>9525</xdr:colOff>
      <xdr:row>15</xdr:row>
      <xdr:rowOff>28575</xdr:rowOff>
    </xdr:from>
    <xdr:to>
      <xdr:col>15</xdr:col>
      <xdr:colOff>76200</xdr:colOff>
      <xdr:row>18</xdr:row>
      <xdr:rowOff>57150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D79100CC-1A76-4684-8598-6B0692DEFAAF}"/>
            </a:ext>
          </a:extLst>
        </xdr:cNvPr>
        <xdr:cNvCxnSpPr/>
      </xdr:nvCxnSpPr>
      <xdr:spPr>
        <a:xfrm>
          <a:off x="1905000" y="1352550"/>
          <a:ext cx="200025" cy="25717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40</xdr:row>
      <xdr:rowOff>8284</xdr:rowOff>
    </xdr:from>
    <xdr:to>
      <xdr:col>13</xdr:col>
      <xdr:colOff>104774</xdr:colOff>
      <xdr:row>50</xdr:row>
      <xdr:rowOff>19050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3B07151-A83B-43D9-AA3A-7819EE6BFD2B}"/>
            </a:ext>
          </a:extLst>
        </xdr:cNvPr>
        <xdr:cNvSpPr txBox="1"/>
      </xdr:nvSpPr>
      <xdr:spPr>
        <a:xfrm>
          <a:off x="733425" y="3665884"/>
          <a:ext cx="1104899" cy="46796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1100"/>
        </a:p>
      </xdr:txBody>
    </xdr:sp>
    <xdr:clientData/>
  </xdr:twoCellAnchor>
  <xdr:twoCellAnchor>
    <xdr:from>
      <xdr:col>10</xdr:col>
      <xdr:colOff>9525</xdr:colOff>
      <xdr:row>29</xdr:row>
      <xdr:rowOff>70019</xdr:rowOff>
    </xdr:from>
    <xdr:to>
      <xdr:col>13</xdr:col>
      <xdr:colOff>9523</xdr:colOff>
      <xdr:row>36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EF760B07-8DB5-4A8A-A27E-E53928EB1DAF}"/>
            </a:ext>
          </a:extLst>
        </xdr:cNvPr>
        <xdr:cNvCxnSpPr>
          <a:cxnSpLocks/>
        </xdr:cNvCxnSpPr>
      </xdr:nvCxnSpPr>
      <xdr:spPr>
        <a:xfrm flipV="1">
          <a:off x="1371600" y="2460794"/>
          <a:ext cx="400048" cy="4633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28575</xdr:colOff>
      <xdr:row>10</xdr:row>
      <xdr:rowOff>19050</xdr:rowOff>
    </xdr:from>
    <xdr:to>
      <xdr:col>55</xdr:col>
      <xdr:colOff>57150</xdr:colOff>
      <xdr:row>52</xdr:row>
      <xdr:rowOff>85725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DB5DD50E-E5F5-991C-3DB2-FC23472C1CF5}"/>
            </a:ext>
          </a:extLst>
        </xdr:cNvPr>
        <xdr:cNvCxnSpPr/>
      </xdr:nvCxnSpPr>
      <xdr:spPr>
        <a:xfrm>
          <a:off x="7705725" y="962025"/>
          <a:ext cx="28575" cy="3267075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</xdr:colOff>
      <xdr:row>31</xdr:row>
      <xdr:rowOff>0</xdr:rowOff>
    </xdr:from>
    <xdr:to>
      <xdr:col>36</xdr:col>
      <xdr:colOff>66675</xdr:colOff>
      <xdr:row>35</xdr:row>
      <xdr:rowOff>9525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48C32DBB-B584-21B6-A927-632B63D7DC20}"/>
            </a:ext>
          </a:extLst>
        </xdr:cNvPr>
        <xdr:cNvCxnSpPr/>
      </xdr:nvCxnSpPr>
      <xdr:spPr>
        <a:xfrm flipH="1" flipV="1">
          <a:off x="4324350" y="2543175"/>
          <a:ext cx="571500" cy="3143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33</xdr:col>
      <xdr:colOff>76201</xdr:colOff>
      <xdr:row>43</xdr:row>
      <xdr:rowOff>11096</xdr:rowOff>
    </xdr:from>
    <xdr:to>
      <xdr:col>42</xdr:col>
      <xdr:colOff>57151</xdr:colOff>
      <xdr:row>49</xdr:row>
      <xdr:rowOff>10337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1C1D578-EE57-7000-C12B-2D418B443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05326" y="3468671"/>
          <a:ext cx="1181100" cy="456441"/>
        </a:xfrm>
        <a:prstGeom prst="rect">
          <a:avLst/>
        </a:prstGeom>
      </xdr:spPr>
    </xdr:pic>
    <xdr:clientData/>
  </xdr:twoCellAnchor>
  <xdr:twoCellAnchor editAs="oneCell">
    <xdr:from>
      <xdr:col>36</xdr:col>
      <xdr:colOff>104775</xdr:colOff>
      <xdr:row>2</xdr:row>
      <xdr:rowOff>10588</xdr:rowOff>
    </xdr:from>
    <xdr:to>
      <xdr:col>43</xdr:col>
      <xdr:colOff>76200</xdr:colOff>
      <xdr:row>5</xdr:row>
      <xdr:rowOff>49559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10907A7C-01C6-716F-EC68-8849E2B8F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33950" y="343963"/>
          <a:ext cx="904875" cy="267571"/>
        </a:xfrm>
        <a:prstGeom prst="rect">
          <a:avLst/>
        </a:prstGeom>
      </xdr:spPr>
    </xdr:pic>
    <xdr:clientData/>
  </xdr:twoCellAnchor>
  <xdr:twoCellAnchor editAs="oneCell">
    <xdr:from>
      <xdr:col>19</xdr:col>
      <xdr:colOff>133349</xdr:colOff>
      <xdr:row>4</xdr:row>
      <xdr:rowOff>19050</xdr:rowOff>
    </xdr:from>
    <xdr:to>
      <xdr:col>36</xdr:col>
      <xdr:colOff>56535</xdr:colOff>
      <xdr:row>38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E51C798-F16D-0605-2E53-326BE0209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4" y="504825"/>
          <a:ext cx="2190136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0</xdr:colOff>
      <xdr:row>1</xdr:row>
      <xdr:rowOff>28575</xdr:rowOff>
    </xdr:from>
    <xdr:to>
      <xdr:col>32</xdr:col>
      <xdr:colOff>60965</xdr:colOff>
      <xdr:row>44</xdr:row>
      <xdr:rowOff>38004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FB6BE64-29E8-B426-FFA5-ECB446ABB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95775" y="285750"/>
          <a:ext cx="60965" cy="3286029"/>
        </a:xfrm>
        <a:prstGeom prst="rect">
          <a:avLst/>
        </a:prstGeom>
      </xdr:spPr>
    </xdr:pic>
    <xdr:clientData/>
  </xdr:twoCellAnchor>
  <xdr:twoCellAnchor editAs="oneCell">
    <xdr:from>
      <xdr:col>14</xdr:col>
      <xdr:colOff>54816</xdr:colOff>
      <xdr:row>23</xdr:row>
      <xdr:rowOff>41370</xdr:rowOff>
    </xdr:from>
    <xdr:to>
      <xdr:col>18</xdr:col>
      <xdr:colOff>125773</xdr:colOff>
      <xdr:row>40</xdr:row>
      <xdr:rowOff>6276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F27431F-C263-4036-D855-99CC05B4F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20810198">
          <a:off x="1950291" y="1974945"/>
          <a:ext cx="604357" cy="1260306"/>
        </a:xfrm>
        <a:prstGeom prst="rect">
          <a:avLst/>
        </a:prstGeom>
      </xdr:spPr>
    </xdr:pic>
    <xdr:clientData/>
  </xdr:twoCellAnchor>
  <xdr:twoCellAnchor editAs="oneCell">
    <xdr:from>
      <xdr:col>11</xdr:col>
      <xdr:colOff>9526</xdr:colOff>
      <xdr:row>20</xdr:row>
      <xdr:rowOff>38100</xdr:rowOff>
    </xdr:from>
    <xdr:to>
      <xdr:col>18</xdr:col>
      <xdr:colOff>82003</xdr:colOff>
      <xdr:row>33</xdr:row>
      <xdr:rowOff>47331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7DD7172-860D-F664-23E8-263C9EE28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2111679">
          <a:off x="1504951" y="1743075"/>
          <a:ext cx="1005927" cy="999831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35</xdr:row>
      <xdr:rowOff>73235</xdr:rowOff>
    </xdr:from>
    <xdr:to>
      <xdr:col>12</xdr:col>
      <xdr:colOff>9525</xdr:colOff>
      <xdr:row>39</xdr:row>
      <xdr:rowOff>11072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146BF62-2A77-33CB-7A64-970E8BCFC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14425" y="2921210"/>
          <a:ext cx="523875" cy="242637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38</xdr:row>
      <xdr:rowOff>28575</xdr:rowOff>
    </xdr:from>
    <xdr:to>
      <xdr:col>15</xdr:col>
      <xdr:colOff>129201</xdr:colOff>
      <xdr:row>45</xdr:row>
      <xdr:rowOff>43863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EBA138F-DB2E-C1FE-498B-067E1AA3B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6400" y="3105150"/>
          <a:ext cx="481626" cy="548688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45</xdr:row>
      <xdr:rowOff>51698</xdr:rowOff>
    </xdr:from>
    <xdr:to>
      <xdr:col>14</xdr:col>
      <xdr:colOff>104775</xdr:colOff>
      <xdr:row>48</xdr:row>
      <xdr:rowOff>52602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44CFD4D1-01A5-278D-1C07-3F1D97685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1125" y="3661673"/>
          <a:ext cx="619125" cy="229504"/>
        </a:xfrm>
        <a:prstGeom prst="rect">
          <a:avLst/>
        </a:prstGeom>
      </xdr:spPr>
    </xdr:pic>
    <xdr:clientData/>
  </xdr:twoCellAnchor>
  <xdr:twoCellAnchor editAs="oneCell">
    <xdr:from>
      <xdr:col>38</xdr:col>
      <xdr:colOff>123825</xdr:colOff>
      <xdr:row>22</xdr:row>
      <xdr:rowOff>12064</xdr:rowOff>
    </xdr:from>
    <xdr:to>
      <xdr:col>43</xdr:col>
      <xdr:colOff>85725</xdr:colOff>
      <xdr:row>25</xdr:row>
      <xdr:rowOff>19837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0AA7906-4C57-4FDB-76F8-54FAE6D27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19700" y="1869439"/>
          <a:ext cx="628650" cy="236373"/>
        </a:xfrm>
        <a:prstGeom prst="rect">
          <a:avLst/>
        </a:prstGeom>
      </xdr:spPr>
    </xdr:pic>
    <xdr:clientData/>
  </xdr:twoCellAnchor>
  <xdr:twoCellAnchor editAs="oneCell">
    <xdr:from>
      <xdr:col>38</xdr:col>
      <xdr:colOff>123825</xdr:colOff>
      <xdr:row>25</xdr:row>
      <xdr:rowOff>12836</xdr:rowOff>
    </xdr:from>
    <xdr:to>
      <xdr:col>43</xdr:col>
      <xdr:colOff>76200</xdr:colOff>
      <xdr:row>28</xdr:row>
      <xdr:rowOff>16408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7282B6B0-ECEC-E49C-62C5-E1AE36A77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219700" y="2098811"/>
          <a:ext cx="619125" cy="232172"/>
        </a:xfrm>
        <a:prstGeom prst="rect">
          <a:avLst/>
        </a:prstGeom>
      </xdr:spPr>
    </xdr:pic>
    <xdr:clientData/>
  </xdr:twoCellAnchor>
  <xdr:twoCellAnchor>
    <xdr:from>
      <xdr:col>36</xdr:col>
      <xdr:colOff>28575</xdr:colOff>
      <xdr:row>26</xdr:row>
      <xdr:rowOff>52722</xdr:rowOff>
    </xdr:from>
    <xdr:to>
      <xdr:col>38</xdr:col>
      <xdr:colOff>123825</xdr:colOff>
      <xdr:row>27</xdr:row>
      <xdr:rowOff>57150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B35E0C85-C1A4-FB94-D897-E19D7DD2E51B}"/>
            </a:ext>
          </a:extLst>
        </xdr:cNvPr>
        <xdr:cNvCxnSpPr>
          <a:stCxn id="23" idx="1"/>
        </xdr:cNvCxnSpPr>
      </xdr:nvCxnSpPr>
      <xdr:spPr>
        <a:xfrm flipH="1">
          <a:off x="4857750" y="2214897"/>
          <a:ext cx="361950" cy="806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38100</xdr:colOff>
      <xdr:row>6</xdr:row>
      <xdr:rowOff>47625</xdr:rowOff>
    </xdr:from>
    <xdr:to>
      <xdr:col>23</xdr:col>
      <xdr:colOff>20584</xdr:colOff>
      <xdr:row>8</xdr:row>
      <xdr:rowOff>4963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B551CFB1-8D5F-D092-F65B-EEC635107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00375" y="685800"/>
          <a:ext cx="115834" cy="109738"/>
        </a:xfrm>
        <a:prstGeom prst="rect">
          <a:avLst/>
        </a:prstGeom>
      </xdr:spPr>
    </xdr:pic>
    <xdr:clientData/>
  </xdr:twoCellAnchor>
  <xdr:twoCellAnchor editAs="oneCell">
    <xdr:from>
      <xdr:col>28</xdr:col>
      <xdr:colOff>76200</xdr:colOff>
      <xdr:row>6</xdr:row>
      <xdr:rowOff>47625</xdr:rowOff>
    </xdr:from>
    <xdr:to>
      <xdr:col>29</xdr:col>
      <xdr:colOff>58684</xdr:colOff>
      <xdr:row>8</xdr:row>
      <xdr:rowOff>4963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240315C2-C6EE-88C3-5239-3ABE312C9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38575" y="685800"/>
          <a:ext cx="115834" cy="109738"/>
        </a:xfrm>
        <a:prstGeom prst="rect">
          <a:avLst/>
        </a:prstGeom>
      </xdr:spPr>
    </xdr:pic>
    <xdr:clientData/>
  </xdr:twoCellAnchor>
  <xdr:twoCellAnchor>
    <xdr:from>
      <xdr:col>22</xdr:col>
      <xdr:colOff>96017</xdr:colOff>
      <xdr:row>3</xdr:row>
      <xdr:rowOff>68174</xdr:rowOff>
    </xdr:from>
    <xdr:to>
      <xdr:col>36</xdr:col>
      <xdr:colOff>104775</xdr:colOff>
      <xdr:row>6</xdr:row>
      <xdr:rowOff>47625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54AD4462-4ABA-6DC3-E788-3FA1069C9A59}"/>
            </a:ext>
          </a:extLst>
        </xdr:cNvPr>
        <xdr:cNvCxnSpPr>
          <a:stCxn id="25" idx="1"/>
          <a:endCxn id="31" idx="0"/>
        </xdr:cNvCxnSpPr>
      </xdr:nvCxnSpPr>
      <xdr:spPr>
        <a:xfrm flipH="1">
          <a:off x="3058292" y="477749"/>
          <a:ext cx="1875658" cy="2080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58684</xdr:colOff>
      <xdr:row>3</xdr:row>
      <xdr:rowOff>68174</xdr:rowOff>
    </xdr:from>
    <xdr:to>
      <xdr:col>36</xdr:col>
      <xdr:colOff>104775</xdr:colOff>
      <xdr:row>7</xdr:row>
      <xdr:rowOff>26294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478EF8AC-B910-3164-C86B-3497AB8D98F8}"/>
            </a:ext>
          </a:extLst>
        </xdr:cNvPr>
        <xdr:cNvCxnSpPr>
          <a:stCxn id="25" idx="1"/>
          <a:endCxn id="32" idx="2"/>
        </xdr:cNvCxnSpPr>
      </xdr:nvCxnSpPr>
      <xdr:spPr>
        <a:xfrm flipH="1">
          <a:off x="3954409" y="477749"/>
          <a:ext cx="979541" cy="2629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57150</xdr:colOff>
      <xdr:row>37</xdr:row>
      <xdr:rowOff>38100</xdr:rowOff>
    </xdr:from>
    <xdr:to>
      <xdr:col>35</xdr:col>
      <xdr:colOff>38100</xdr:colOff>
      <xdr:row>43</xdr:row>
      <xdr:rowOff>28575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4CF059CA-D06C-5CF5-2F9A-DA59149CCD11}"/>
            </a:ext>
          </a:extLst>
        </xdr:cNvPr>
        <xdr:cNvCxnSpPr/>
      </xdr:nvCxnSpPr>
      <xdr:spPr>
        <a:xfrm flipH="1" flipV="1">
          <a:off x="4486275" y="3038475"/>
          <a:ext cx="247650" cy="4476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57150</xdr:colOff>
      <xdr:row>12</xdr:row>
      <xdr:rowOff>56282</xdr:rowOff>
    </xdr:from>
    <xdr:to>
      <xdr:col>14</xdr:col>
      <xdr:colOff>85725</xdr:colOff>
      <xdr:row>15</xdr:row>
      <xdr:rowOff>59457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2C2D2836-F4F3-6CB5-F873-D16EACEB7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85875" y="1151657"/>
          <a:ext cx="695325" cy="231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60041\pub\&#21942;&#26989;\&#21942;&#26989;&#20849;&#36890;\&#26696;&#20869;&#25991;&#31456;\2010&#24180;&#24230;&#30331;&#37682;&#30906;&#35469;&#26360;\10&#21942;&#26989;&#31649;&#29702;&#26085;&#31243;&#65288;&#26696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60041\Pub\&#12459;&#12479;&#12525;&#12464;&#20849;&#36890;\&#12459;&#12479;&#12525;&#12464;&#20849;&#36890;\&#32113;&#19968;&#29256;&#30330;&#34892;&#35336;&#30011;(2009&#24180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ANA\&#12450;&#12454;&#12479;&#12540;&#65297;&#20107;\&#31532;&#65299;&#38283;&#30330;&#37096;\&#12491;&#12483;&#12488;&#12539;&#12459;&#12483;&#12488;\00292\01FW&#12501;&#12457;&#12540;&#12510;&#12483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CONRON017/Desktop/&#30330;&#27880;&amp;&#12461;&#12515;&#12531;&#12475;&#12523;&#30003;&#35531;&#26360;/&#12304;&#25285;&#24403;&#21517;&#12305;&#30330;&#27880;&amp;&#65399;&#65388;&#65437;&#65406;&#65433;&#30003;&#35531;&#26360;(&#26085;&#20184;0000)_ver.06.xlsm" TargetMode="External"/><Relationship Id="rId1" Type="http://schemas.openxmlformats.org/officeDocument/2006/relationships/externalLinkPath" Target="/Users/CONRON017/Desktop/&#30330;&#27880;&amp;&#12461;&#12515;&#12531;&#12475;&#12523;&#30003;&#35531;&#26360;/&#12304;&#25285;&#24403;&#21517;&#12305;&#30330;&#27880;&amp;&#65399;&#65388;&#65437;&#65406;&#65433;&#30003;&#35531;&#26360;(&#26085;&#20184;0000)_ver.06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5.11\d\&#26412;&#31038;&#23554;&#29992;\&#31532;&#19968;&#20107;&#26989;&#37096;\020_&#20849;&#26377;&#21463;&#27880;&#19968;&#35239;\2019&#24180;&#12288;&#31179;&#20908;&#20225;&#30011;&#26360;\&#12304;2019&#24180;AW&#12305;&#21463;&#27880;&#38598;&#35336;&#34920;(&#32207;&#21512;)_ver.14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170\ftp\Worksheet\Conron%20Worksheet\2025\A832597%20&#35023;&#36215;&#27611;&#12495;&#12479;&#12521;&#12463;&#12463;&#12525;&#12479;&#12452;&#12488;&#12473;&#12461;&#12491;&#12540;70&#199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営業管理日程2010"/>
      <sheetName val="営業管理日程2010(2)"/>
      <sheetName val="【統一版発行計画】変更履歴"/>
      <sheetName val="2010合本情報"/>
      <sheetName val="2010WEB"/>
      <sheetName val="2010ﾏｽﾀ媒体発送先一覧"/>
      <sheetName val="2010媒体雑コード符番一覧"/>
      <sheetName val="配送ｻｰﾋﾞｽ料・号登録手順"/>
      <sheetName val="10媒体展開計画"/>
      <sheetName val="【参考】09媒体展開計画"/>
      <sheetName val="統一版発行計画情報091201"/>
      <sheetName val="ブロック別展開(手入力）表"/>
      <sheetName val="10Ａ＆Ｆ＆Ｃ★"/>
      <sheetName val="10Ｇ＆Ｈ★"/>
      <sheetName val="10I＆J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号別換算部数"/>
      <sheetName val="2009年間発行計画"/>
      <sheetName val="合本情報"/>
      <sheetName val="2009営業+追加対策媒体(クリアランス）"/>
      <sheetName val="2009ｲﾝﾀｰﾈｯﾄ"/>
      <sheetName val="2009ｲﾝﾀｰﾈｯﾄ (化粧）"/>
      <sheetName val="2009週次宅配"/>
      <sheetName val="変更履歴"/>
      <sheetName val="同梱条件"/>
      <sheetName val="掲示用"/>
      <sheetName val="2009ｲﾝﾀｰﾈｯﾄ (食品・化粧）"/>
    </sheetNames>
    <sheetDataSet>
      <sheetData sheetId="0"/>
      <sheetData sheetId="1" refreshError="1">
        <row r="3">
          <cell r="Q3" t="str">
            <v>マスター項目</v>
          </cell>
          <cell r="T3">
            <v>0.05</v>
          </cell>
          <cell r="V3" t="str">
            <v>営</v>
          </cell>
          <cell r="W3" t="str">
            <v>業</v>
          </cell>
          <cell r="X3" t="str">
            <v>情</v>
          </cell>
          <cell r="Y3" t="str">
            <v>報</v>
          </cell>
          <cell r="AC3" t="str">
            <v>マスター管理項目</v>
          </cell>
          <cell r="AD3" t="str">
            <v>再編集媒体区分</v>
          </cell>
          <cell r="AG3" t="str">
            <v>マ　ス　ター</v>
          </cell>
          <cell r="AH3" t="str">
            <v>管　理</v>
          </cell>
          <cell r="AI3" t="str">
            <v>項　目</v>
          </cell>
          <cell r="AR3" t="str">
            <v>再編集媒体区分</v>
          </cell>
        </row>
        <row r="4">
          <cell r="H4" t="str">
            <v>申込番号枠</v>
          </cell>
          <cell r="I4" t="str">
            <v>申込CD</v>
          </cell>
          <cell r="J4" t="str">
            <v>版型</v>
          </cell>
          <cell r="K4" t="str">
            <v>冊子頁数</v>
          </cell>
          <cell r="L4" t="str">
            <v>ｼｰｽﾞﾝ区分</v>
          </cell>
          <cell r="M4" t="str">
            <v>ｼｰｽﾞﾝ名(6)</v>
          </cell>
          <cell r="N4" t="str">
            <v>展開開始日</v>
          </cell>
          <cell r="O4" t="str">
            <v>展開終了日</v>
          </cell>
          <cell r="P4" t="str">
            <v>日数</v>
          </cell>
          <cell r="Q4" t="str">
            <v>CATS登録日(展開日起点)</v>
          </cell>
          <cell r="R4" t="str">
            <v>マスター登録日(展開日の35日前）</v>
          </cell>
          <cell r="S4" t="str">
            <v>実終了日（展開終了日+3営業日）</v>
          </cell>
          <cell r="T4" t="str">
            <v>マスタFD発送日</v>
          </cell>
          <cell r="U4" t="str">
            <v>マスター削除日</v>
          </cell>
          <cell r="V4" t="str">
            <v>ＳＫＵ総枠</v>
          </cell>
          <cell r="W4" t="str">
            <v>SKU運用枠(実SKU）</v>
          </cell>
          <cell r="X4" t="str">
            <v>媒体分類</v>
          </cell>
          <cell r="Y4" t="str">
            <v>BOOK代区分</v>
          </cell>
          <cell r="Z4" t="str">
            <v>有償/無償</v>
          </cell>
          <cell r="AA4" t="str">
            <v>会員GPR</v>
          </cell>
          <cell r="AB4" t="str">
            <v>ＷＥＢ単品画面作成</v>
          </cell>
          <cell r="AC4" t="str">
            <v>表4のみ（号番号）</v>
          </cell>
          <cell r="AD4" t="str">
            <v>Ｊ：四国・南九州</v>
          </cell>
          <cell r="AE4" t="str">
            <v>CATS登録日(展開日起点)</v>
          </cell>
          <cell r="AF4" t="str">
            <v>マスター登録日(展開日の35日前）</v>
          </cell>
          <cell r="AG4" t="str">
            <v>実終了日（展開終了日+3営業日）</v>
          </cell>
          <cell r="AH4" t="str">
            <v>マスタFD発送日</v>
          </cell>
          <cell r="AI4" t="str">
            <v>マスター削除日</v>
          </cell>
          <cell r="AJ4" t="str">
            <v>ＳＫＵ総枠</v>
          </cell>
          <cell r="AK4" t="str">
            <v>SKU運用枠(実SKU）</v>
          </cell>
          <cell r="AL4" t="str">
            <v>媒体分類</v>
          </cell>
          <cell r="AM4" t="str">
            <v>BOOK代区分</v>
          </cell>
          <cell r="AN4" t="str">
            <v>有償/無償</v>
          </cell>
          <cell r="AO4" t="str">
            <v>会員GPR</v>
          </cell>
          <cell r="AP4" t="str">
            <v>ＷＥＢ単品画面作成</v>
          </cell>
          <cell r="AQ4" t="str">
            <v>表4のみ（号番号）</v>
          </cell>
          <cell r="AR4" t="str">
            <v>カタログ表示上の　受注終了日</v>
          </cell>
        </row>
        <row r="5">
          <cell r="H5" t="str">
            <v>0：通常</v>
          </cell>
          <cell r="I5">
            <v>0</v>
          </cell>
          <cell r="J5" t="str">
            <v>B4</v>
          </cell>
          <cell r="K5">
            <v>24</v>
          </cell>
          <cell r="L5">
            <v>2</v>
          </cell>
          <cell r="M5" t="str">
            <v>夏</v>
          </cell>
          <cell r="N5">
            <v>39881</v>
          </cell>
          <cell r="O5">
            <v>39977</v>
          </cell>
          <cell r="P5">
            <v>97</v>
          </cell>
          <cell r="Q5" t="str">
            <v>35日前</v>
          </cell>
          <cell r="R5">
            <v>39846</v>
          </cell>
          <cell r="S5">
            <v>39981</v>
          </cell>
          <cell r="T5">
            <v>39863</v>
          </cell>
          <cell r="U5">
            <v>40012</v>
          </cell>
          <cell r="V5">
            <v>1000</v>
          </cell>
          <cell r="W5">
            <v>819</v>
          </cell>
          <cell r="X5">
            <v>2</v>
          </cell>
          <cell r="Y5">
            <v>1</v>
          </cell>
          <cell r="Z5" t="str">
            <v>無償</v>
          </cell>
          <cell r="AA5" t="str">
            <v>通常体系</v>
          </cell>
          <cell r="AB5" t="str">
            <v>×</v>
          </cell>
          <cell r="AC5">
            <v>39977</v>
          </cell>
          <cell r="AD5">
            <v>700</v>
          </cell>
          <cell r="AE5" t="str">
            <v>35日前</v>
          </cell>
          <cell r="AF5">
            <v>39846</v>
          </cell>
          <cell r="AG5">
            <v>39981</v>
          </cell>
          <cell r="AH5">
            <v>39863</v>
          </cell>
          <cell r="AI5">
            <v>40012</v>
          </cell>
          <cell r="AJ5">
            <v>1000</v>
          </cell>
          <cell r="AK5">
            <v>819</v>
          </cell>
          <cell r="AL5">
            <v>2</v>
          </cell>
          <cell r="AM5">
            <v>1</v>
          </cell>
          <cell r="AN5" t="str">
            <v>無償</v>
          </cell>
          <cell r="AO5" t="str">
            <v>通常体系</v>
          </cell>
          <cell r="AP5" t="str">
            <v>×</v>
          </cell>
          <cell r="AQ5">
            <v>39938</v>
          </cell>
          <cell r="AR5">
            <v>39935</v>
          </cell>
        </row>
        <row r="6">
          <cell r="H6" t="str">
            <v>0：通常</v>
          </cell>
          <cell r="I6">
            <v>0</v>
          </cell>
          <cell r="J6" t="str">
            <v>B4</v>
          </cell>
          <cell r="K6">
            <v>16</v>
          </cell>
          <cell r="L6">
            <v>2</v>
          </cell>
          <cell r="M6" t="str">
            <v>夏</v>
          </cell>
          <cell r="N6">
            <v>39888</v>
          </cell>
          <cell r="O6">
            <v>39991</v>
          </cell>
          <cell r="P6">
            <v>104</v>
          </cell>
          <cell r="Q6" t="str">
            <v>35日前</v>
          </cell>
          <cell r="R6">
            <v>39853</v>
          </cell>
          <cell r="S6">
            <v>39995</v>
          </cell>
          <cell r="T6">
            <v>39870</v>
          </cell>
          <cell r="U6">
            <v>40026</v>
          </cell>
          <cell r="V6">
            <v>1000</v>
          </cell>
          <cell r="W6">
            <v>946</v>
          </cell>
          <cell r="X6">
            <v>25</v>
          </cell>
          <cell r="Y6">
            <v>1</v>
          </cell>
          <cell r="Z6" t="str">
            <v>無償</v>
          </cell>
          <cell r="AA6" t="str">
            <v>通常体系</v>
          </cell>
          <cell r="AB6" t="str">
            <v>×</v>
          </cell>
          <cell r="AC6">
            <v>40047</v>
          </cell>
          <cell r="AD6">
            <v>700</v>
          </cell>
          <cell r="AE6" t="str">
            <v>35日前</v>
          </cell>
          <cell r="AF6">
            <v>39853</v>
          </cell>
          <cell r="AG6">
            <v>39995</v>
          </cell>
          <cell r="AH6">
            <v>39870</v>
          </cell>
          <cell r="AI6">
            <v>40026</v>
          </cell>
          <cell r="AJ6">
            <v>1000</v>
          </cell>
          <cell r="AK6">
            <v>946</v>
          </cell>
          <cell r="AL6">
            <v>25</v>
          </cell>
          <cell r="AM6">
            <v>1</v>
          </cell>
          <cell r="AN6" t="str">
            <v>無償</v>
          </cell>
          <cell r="AO6" t="str">
            <v>通常体系</v>
          </cell>
          <cell r="AP6" t="str">
            <v>×</v>
          </cell>
          <cell r="AQ6">
            <v>40008</v>
          </cell>
          <cell r="AR6">
            <v>40005</v>
          </cell>
        </row>
        <row r="7">
          <cell r="H7" t="str">
            <v>0：通常</v>
          </cell>
          <cell r="I7">
            <v>0</v>
          </cell>
          <cell r="J7" t="str">
            <v>B4</v>
          </cell>
          <cell r="K7">
            <v>16</v>
          </cell>
          <cell r="L7">
            <v>2</v>
          </cell>
          <cell r="M7" t="str">
            <v>夏</v>
          </cell>
          <cell r="N7">
            <v>39888</v>
          </cell>
          <cell r="O7">
            <v>39984</v>
          </cell>
          <cell r="P7">
            <v>97</v>
          </cell>
          <cell r="Q7" t="str">
            <v>35日前</v>
          </cell>
          <cell r="R7">
            <v>39853</v>
          </cell>
          <cell r="S7">
            <v>39988</v>
          </cell>
          <cell r="T7">
            <v>39870</v>
          </cell>
          <cell r="U7">
            <v>40019</v>
          </cell>
          <cell r="V7">
            <v>900</v>
          </cell>
          <cell r="W7">
            <v>834</v>
          </cell>
          <cell r="X7">
            <v>19</v>
          </cell>
          <cell r="Y7">
            <v>1</v>
          </cell>
          <cell r="Z7" t="str">
            <v>無償</v>
          </cell>
          <cell r="AA7" t="str">
            <v>通常体系</v>
          </cell>
          <cell r="AB7" t="str">
            <v>×</v>
          </cell>
          <cell r="AC7">
            <v>40166</v>
          </cell>
          <cell r="AD7">
            <v>700</v>
          </cell>
          <cell r="AE7" t="str">
            <v>35日前</v>
          </cell>
          <cell r="AF7">
            <v>39853</v>
          </cell>
          <cell r="AG7">
            <v>39988</v>
          </cell>
          <cell r="AH7">
            <v>39870</v>
          </cell>
          <cell r="AI7">
            <v>40019</v>
          </cell>
          <cell r="AJ7">
            <v>900</v>
          </cell>
          <cell r="AK7">
            <v>834</v>
          </cell>
          <cell r="AL7">
            <v>19</v>
          </cell>
          <cell r="AM7">
            <v>1</v>
          </cell>
          <cell r="AN7" t="str">
            <v>無償</v>
          </cell>
          <cell r="AO7" t="str">
            <v>通常体系</v>
          </cell>
          <cell r="AP7" t="str">
            <v>×</v>
          </cell>
          <cell r="AQ7">
            <v>40127</v>
          </cell>
          <cell r="AR7">
            <v>40124</v>
          </cell>
        </row>
        <row r="8">
          <cell r="H8" t="str">
            <v>1：新枠</v>
          </cell>
          <cell r="I8">
            <v>1</v>
          </cell>
          <cell r="J8" t="str">
            <v>B4</v>
          </cell>
          <cell r="K8">
            <v>16</v>
          </cell>
          <cell r="L8">
            <v>2</v>
          </cell>
          <cell r="M8" t="str">
            <v>夏</v>
          </cell>
          <cell r="N8">
            <v>39888</v>
          </cell>
          <cell r="O8">
            <v>39963</v>
          </cell>
          <cell r="P8">
            <v>76</v>
          </cell>
          <cell r="Q8" t="str">
            <v>35日前</v>
          </cell>
          <cell r="R8">
            <v>39853</v>
          </cell>
          <cell r="S8">
            <v>39967</v>
          </cell>
          <cell r="T8">
            <v>39870</v>
          </cell>
          <cell r="U8">
            <v>39998</v>
          </cell>
          <cell r="V8">
            <v>500</v>
          </cell>
          <cell r="W8">
            <v>411</v>
          </cell>
          <cell r="X8">
            <v>19</v>
          </cell>
          <cell r="Y8">
            <v>1</v>
          </cell>
          <cell r="Z8" t="str">
            <v>無償</v>
          </cell>
          <cell r="AA8" t="str">
            <v>通常体系</v>
          </cell>
          <cell r="AB8" t="str">
            <v>×</v>
          </cell>
          <cell r="AC8">
            <v>40250</v>
          </cell>
          <cell r="AD8">
            <v>700</v>
          </cell>
          <cell r="AE8" t="str">
            <v>35日前</v>
          </cell>
          <cell r="AF8">
            <v>39853</v>
          </cell>
          <cell r="AG8">
            <v>39967</v>
          </cell>
          <cell r="AH8">
            <v>39870</v>
          </cell>
          <cell r="AI8">
            <v>39998</v>
          </cell>
          <cell r="AJ8">
            <v>500</v>
          </cell>
          <cell r="AK8">
            <v>411</v>
          </cell>
          <cell r="AL8">
            <v>19</v>
          </cell>
          <cell r="AM8">
            <v>1</v>
          </cell>
          <cell r="AN8" t="str">
            <v>無償</v>
          </cell>
          <cell r="AO8" t="str">
            <v>通常体系</v>
          </cell>
          <cell r="AP8" t="str">
            <v>×</v>
          </cell>
          <cell r="AQ8">
            <v>40211</v>
          </cell>
          <cell r="AR8">
            <v>40208</v>
          </cell>
        </row>
        <row r="9">
          <cell r="H9" t="str">
            <v>0：通常</v>
          </cell>
          <cell r="I9">
            <v>0</v>
          </cell>
          <cell r="J9" t="str">
            <v>B4</v>
          </cell>
          <cell r="K9">
            <v>16</v>
          </cell>
          <cell r="L9">
            <v>2</v>
          </cell>
          <cell r="M9" t="str">
            <v>夏</v>
          </cell>
          <cell r="N9">
            <v>39895</v>
          </cell>
          <cell r="O9">
            <v>39998</v>
          </cell>
          <cell r="P9">
            <v>104</v>
          </cell>
          <cell r="Q9" t="str">
            <v>35日前</v>
          </cell>
          <cell r="R9">
            <v>39860</v>
          </cell>
          <cell r="S9">
            <v>40002</v>
          </cell>
          <cell r="T9">
            <v>39877</v>
          </cell>
          <cell r="U9">
            <v>40033</v>
          </cell>
          <cell r="V9">
            <v>1300</v>
          </cell>
          <cell r="W9">
            <v>1255</v>
          </cell>
          <cell r="X9">
            <v>4</v>
          </cell>
          <cell r="Y9">
            <v>1</v>
          </cell>
          <cell r="Z9" t="str">
            <v>無償</v>
          </cell>
          <cell r="AA9" t="str">
            <v>通常体系</v>
          </cell>
          <cell r="AB9" t="str">
            <v>○</v>
          </cell>
          <cell r="AC9">
            <v>40278</v>
          </cell>
          <cell r="AD9">
            <v>700</v>
          </cell>
          <cell r="AE9" t="str">
            <v>35日前</v>
          </cell>
          <cell r="AF9">
            <v>39860</v>
          </cell>
          <cell r="AG9">
            <v>40002</v>
          </cell>
          <cell r="AH9">
            <v>39877</v>
          </cell>
          <cell r="AI9">
            <v>40033</v>
          </cell>
          <cell r="AJ9">
            <v>1300</v>
          </cell>
          <cell r="AK9">
            <v>1255</v>
          </cell>
          <cell r="AL9">
            <v>4</v>
          </cell>
          <cell r="AM9">
            <v>1</v>
          </cell>
          <cell r="AN9" t="str">
            <v>無償</v>
          </cell>
          <cell r="AO9" t="str">
            <v>通常体系</v>
          </cell>
          <cell r="AP9" t="str">
            <v>○</v>
          </cell>
          <cell r="AQ9">
            <v>40239</v>
          </cell>
          <cell r="AR9">
            <v>40236</v>
          </cell>
        </row>
        <row r="10">
          <cell r="H10" t="str">
            <v>1：新枠</v>
          </cell>
          <cell r="I10">
            <v>1</v>
          </cell>
          <cell r="J10" t="str">
            <v>B4</v>
          </cell>
          <cell r="K10">
            <v>8</v>
          </cell>
          <cell r="L10">
            <v>2</v>
          </cell>
          <cell r="M10" t="str">
            <v>夏</v>
          </cell>
          <cell r="N10">
            <v>39902</v>
          </cell>
          <cell r="O10">
            <v>40103</v>
          </cell>
          <cell r="P10">
            <v>202</v>
          </cell>
          <cell r="Q10" t="str">
            <v>35日前</v>
          </cell>
          <cell r="R10">
            <v>39867</v>
          </cell>
          <cell r="S10">
            <v>40107</v>
          </cell>
          <cell r="T10">
            <v>39884</v>
          </cell>
          <cell r="U10">
            <v>40138</v>
          </cell>
          <cell r="V10">
            <v>300</v>
          </cell>
          <cell r="W10">
            <v>234</v>
          </cell>
          <cell r="X10">
            <v>99</v>
          </cell>
          <cell r="Y10">
            <v>1</v>
          </cell>
          <cell r="Z10" t="str">
            <v>無償</v>
          </cell>
          <cell r="AA10" t="str">
            <v>通常体系</v>
          </cell>
          <cell r="AB10" t="str">
            <v>○</v>
          </cell>
          <cell r="AC10">
            <v>40075</v>
          </cell>
          <cell r="AD10">
            <v>700</v>
          </cell>
          <cell r="AE10" t="str">
            <v>35日前</v>
          </cell>
          <cell r="AF10">
            <v>39867</v>
          </cell>
          <cell r="AG10">
            <v>40107</v>
          </cell>
          <cell r="AH10">
            <v>39884</v>
          </cell>
          <cell r="AI10">
            <v>40138</v>
          </cell>
          <cell r="AJ10">
            <v>300</v>
          </cell>
          <cell r="AK10">
            <v>234</v>
          </cell>
          <cell r="AL10">
            <v>99</v>
          </cell>
          <cell r="AM10">
            <v>1</v>
          </cell>
          <cell r="AN10" t="str">
            <v>無償</v>
          </cell>
          <cell r="AO10" t="str">
            <v>通常体系</v>
          </cell>
          <cell r="AP10" t="str">
            <v>○</v>
          </cell>
          <cell r="AQ10">
            <v>40036</v>
          </cell>
          <cell r="AR10">
            <v>40033</v>
          </cell>
        </row>
        <row r="11">
          <cell r="H11" t="str">
            <v>1：新枠</v>
          </cell>
          <cell r="I11">
            <v>1</v>
          </cell>
          <cell r="J11" t="str">
            <v>B4</v>
          </cell>
          <cell r="K11">
            <v>16</v>
          </cell>
          <cell r="L11">
            <v>2</v>
          </cell>
          <cell r="M11" t="str">
            <v>夏</v>
          </cell>
          <cell r="N11">
            <v>39902</v>
          </cell>
          <cell r="O11">
            <v>40082</v>
          </cell>
          <cell r="P11">
            <v>181</v>
          </cell>
          <cell r="Q11" t="str">
            <v>35日前</v>
          </cell>
          <cell r="R11">
            <v>39867</v>
          </cell>
          <cell r="S11">
            <v>40086</v>
          </cell>
          <cell r="T11">
            <v>39884</v>
          </cell>
          <cell r="U11">
            <v>40117</v>
          </cell>
          <cell r="V11">
            <v>300</v>
          </cell>
          <cell r="W11">
            <v>120</v>
          </cell>
          <cell r="X11">
            <v>19</v>
          </cell>
          <cell r="Y11">
            <v>1</v>
          </cell>
          <cell r="Z11" t="str">
            <v>無償</v>
          </cell>
          <cell r="AA11" t="str">
            <v>通常体系</v>
          </cell>
          <cell r="AB11" t="str">
            <v>×</v>
          </cell>
          <cell r="AC11">
            <v>40082</v>
          </cell>
          <cell r="AD11">
            <v>700</v>
          </cell>
          <cell r="AE11" t="str">
            <v>35日前</v>
          </cell>
          <cell r="AF11">
            <v>39867</v>
          </cell>
          <cell r="AG11">
            <v>40086</v>
          </cell>
          <cell r="AH11">
            <v>39884</v>
          </cell>
          <cell r="AI11">
            <v>40117</v>
          </cell>
          <cell r="AJ11">
            <v>300</v>
          </cell>
          <cell r="AK11">
            <v>120</v>
          </cell>
          <cell r="AL11">
            <v>19</v>
          </cell>
          <cell r="AM11">
            <v>1</v>
          </cell>
          <cell r="AN11" t="str">
            <v>無償</v>
          </cell>
          <cell r="AO11" t="str">
            <v>通常体系</v>
          </cell>
          <cell r="AP11" t="str">
            <v>×</v>
          </cell>
          <cell r="AQ11">
            <v>40043</v>
          </cell>
          <cell r="AR11">
            <v>40040</v>
          </cell>
        </row>
        <row r="12">
          <cell r="H12" t="str">
            <v>1：新枠</v>
          </cell>
          <cell r="I12">
            <v>1</v>
          </cell>
          <cell r="J12" t="str">
            <v>B4</v>
          </cell>
          <cell r="K12">
            <v>16</v>
          </cell>
          <cell r="L12">
            <v>2</v>
          </cell>
          <cell r="M12" t="str">
            <v>夏</v>
          </cell>
          <cell r="N12">
            <v>39902</v>
          </cell>
          <cell r="O12">
            <v>39984</v>
          </cell>
          <cell r="P12">
            <v>83</v>
          </cell>
          <cell r="Q12" t="str">
            <v>35日前</v>
          </cell>
          <cell r="R12">
            <v>39867</v>
          </cell>
          <cell r="S12">
            <v>39988</v>
          </cell>
          <cell r="T12">
            <v>39884</v>
          </cell>
          <cell r="U12">
            <v>40019</v>
          </cell>
          <cell r="V12">
            <v>700</v>
          </cell>
          <cell r="W12">
            <v>454</v>
          </cell>
          <cell r="X12">
            <v>4</v>
          </cell>
          <cell r="Y12">
            <v>1</v>
          </cell>
          <cell r="Z12" t="str">
            <v>無償</v>
          </cell>
          <cell r="AA12" t="str">
            <v>通常体系</v>
          </cell>
          <cell r="AB12" t="str">
            <v>○</v>
          </cell>
          <cell r="AC12">
            <v>40082</v>
          </cell>
          <cell r="AD12">
            <v>700</v>
          </cell>
          <cell r="AE12" t="str">
            <v>35日前</v>
          </cell>
          <cell r="AF12">
            <v>39867</v>
          </cell>
          <cell r="AG12">
            <v>39988</v>
          </cell>
          <cell r="AH12">
            <v>39884</v>
          </cell>
          <cell r="AI12">
            <v>40019</v>
          </cell>
          <cell r="AJ12">
            <v>700</v>
          </cell>
          <cell r="AK12">
            <v>454</v>
          </cell>
          <cell r="AL12">
            <v>4</v>
          </cell>
          <cell r="AM12">
            <v>1</v>
          </cell>
          <cell r="AN12" t="str">
            <v>無償</v>
          </cell>
          <cell r="AO12" t="str">
            <v>通常体系</v>
          </cell>
          <cell r="AP12" t="str">
            <v>○</v>
          </cell>
          <cell r="AQ12">
            <v>40045</v>
          </cell>
          <cell r="AR12">
            <v>40040</v>
          </cell>
        </row>
        <row r="13">
          <cell r="H13" t="str">
            <v>1：新枠</v>
          </cell>
          <cell r="I13">
            <v>1</v>
          </cell>
          <cell r="J13" t="str">
            <v>B4</v>
          </cell>
          <cell r="K13">
            <v>16</v>
          </cell>
          <cell r="L13">
            <v>2</v>
          </cell>
          <cell r="M13" t="str">
            <v>夏</v>
          </cell>
          <cell r="N13">
            <v>39916</v>
          </cell>
          <cell r="O13">
            <v>39998</v>
          </cell>
          <cell r="P13">
            <v>83</v>
          </cell>
          <cell r="Q13" t="str">
            <v>35日前</v>
          </cell>
          <cell r="R13">
            <v>39881</v>
          </cell>
          <cell r="S13">
            <v>40002</v>
          </cell>
          <cell r="T13">
            <v>39898</v>
          </cell>
          <cell r="U13">
            <v>40033</v>
          </cell>
          <cell r="V13">
            <v>900</v>
          </cell>
          <cell r="W13">
            <v>809</v>
          </cell>
          <cell r="X13">
            <v>4</v>
          </cell>
          <cell r="Y13">
            <v>1</v>
          </cell>
          <cell r="Z13" t="str">
            <v>無償</v>
          </cell>
          <cell r="AA13" t="str">
            <v>通常体系</v>
          </cell>
          <cell r="AB13" t="str">
            <v>○</v>
          </cell>
          <cell r="AC13">
            <v>40089</v>
          </cell>
          <cell r="AD13" t="str">
            <v>600→700</v>
          </cell>
          <cell r="AE13" t="str">
            <v>35日前</v>
          </cell>
          <cell r="AF13">
            <v>39881</v>
          </cell>
          <cell r="AG13">
            <v>40002</v>
          </cell>
          <cell r="AH13">
            <v>39898</v>
          </cell>
          <cell r="AI13">
            <v>40033</v>
          </cell>
          <cell r="AJ13">
            <v>900</v>
          </cell>
          <cell r="AK13">
            <v>809</v>
          </cell>
          <cell r="AL13">
            <v>4</v>
          </cell>
          <cell r="AM13">
            <v>1</v>
          </cell>
          <cell r="AN13" t="str">
            <v>無償</v>
          </cell>
          <cell r="AO13" t="str">
            <v>通常体系</v>
          </cell>
          <cell r="AP13" t="str">
            <v>○</v>
          </cell>
          <cell r="AQ13">
            <v>40050</v>
          </cell>
          <cell r="AR13">
            <v>40047</v>
          </cell>
        </row>
        <row r="14">
          <cell r="H14" t="str">
            <v>3：増枠</v>
          </cell>
          <cell r="I14">
            <v>3</v>
          </cell>
          <cell r="J14" t="str">
            <v>A4</v>
          </cell>
          <cell r="K14">
            <v>169</v>
          </cell>
          <cell r="L14">
            <v>2</v>
          </cell>
          <cell r="M14" t="str">
            <v>夏</v>
          </cell>
          <cell r="N14">
            <v>39909</v>
          </cell>
          <cell r="O14">
            <v>40047</v>
          </cell>
          <cell r="P14">
            <v>139</v>
          </cell>
          <cell r="Q14" t="str">
            <v>35日前</v>
          </cell>
          <cell r="R14">
            <v>39874</v>
          </cell>
          <cell r="S14">
            <v>40051</v>
          </cell>
          <cell r="T14">
            <v>39891</v>
          </cell>
          <cell r="U14">
            <v>40082</v>
          </cell>
          <cell r="V14">
            <v>3700</v>
          </cell>
          <cell r="W14">
            <v>3594</v>
          </cell>
          <cell r="X14">
            <v>1</v>
          </cell>
          <cell r="Y14">
            <v>1</v>
          </cell>
          <cell r="Z14" t="str">
            <v>無償</v>
          </cell>
          <cell r="AA14" t="str">
            <v>通常体系</v>
          </cell>
          <cell r="AB14" t="str">
            <v>○</v>
          </cell>
          <cell r="AC14">
            <v>40229</v>
          </cell>
          <cell r="AD14">
            <v>700</v>
          </cell>
          <cell r="AE14" t="str">
            <v>35日前</v>
          </cell>
          <cell r="AF14">
            <v>39874</v>
          </cell>
          <cell r="AG14">
            <v>40051</v>
          </cell>
          <cell r="AH14">
            <v>39891</v>
          </cell>
          <cell r="AI14">
            <v>40082</v>
          </cell>
          <cell r="AJ14">
            <v>3700</v>
          </cell>
          <cell r="AK14">
            <v>3594</v>
          </cell>
          <cell r="AL14">
            <v>1</v>
          </cell>
          <cell r="AM14">
            <v>1</v>
          </cell>
          <cell r="AN14" t="str">
            <v>無償</v>
          </cell>
          <cell r="AO14" t="str">
            <v>通常体系</v>
          </cell>
          <cell r="AP14" t="str">
            <v>○</v>
          </cell>
          <cell r="AQ14">
            <v>40182</v>
          </cell>
          <cell r="AR14">
            <v>40173</v>
          </cell>
        </row>
        <row r="15">
          <cell r="H15" t="str">
            <v>0：通常</v>
          </cell>
          <cell r="I15">
            <v>0</v>
          </cell>
          <cell r="J15" t="str">
            <v>B4</v>
          </cell>
          <cell r="K15">
            <v>24</v>
          </cell>
          <cell r="L15">
            <v>2</v>
          </cell>
          <cell r="M15" t="str">
            <v>夏</v>
          </cell>
          <cell r="N15">
            <v>39923</v>
          </cell>
          <cell r="O15">
            <v>40019</v>
          </cell>
          <cell r="P15">
            <v>97</v>
          </cell>
          <cell r="Q15" t="str">
            <v>35日前</v>
          </cell>
          <cell r="R15">
            <v>39888</v>
          </cell>
          <cell r="S15">
            <v>40023</v>
          </cell>
          <cell r="T15">
            <v>39905</v>
          </cell>
          <cell r="U15">
            <v>40054</v>
          </cell>
          <cell r="V15" t="str">
            <v>1000→1100</v>
          </cell>
          <cell r="W15">
            <v>1088</v>
          </cell>
          <cell r="X15">
            <v>4</v>
          </cell>
          <cell r="Y15">
            <v>1</v>
          </cell>
          <cell r="Z15" t="str">
            <v>無償</v>
          </cell>
          <cell r="AA15" t="str">
            <v>通常体系</v>
          </cell>
          <cell r="AB15" t="str">
            <v>○</v>
          </cell>
          <cell r="AC15">
            <v>40229</v>
          </cell>
          <cell r="AD15">
            <v>700</v>
          </cell>
          <cell r="AE15" t="str">
            <v>35日前</v>
          </cell>
          <cell r="AF15">
            <v>39888</v>
          </cell>
          <cell r="AG15">
            <v>40023</v>
          </cell>
          <cell r="AH15">
            <v>39905</v>
          </cell>
          <cell r="AI15">
            <v>40054</v>
          </cell>
          <cell r="AJ15" t="str">
            <v>1000→1100</v>
          </cell>
          <cell r="AK15">
            <v>1088</v>
          </cell>
          <cell r="AL15">
            <v>4</v>
          </cell>
          <cell r="AM15">
            <v>1</v>
          </cell>
          <cell r="AN15" t="str">
            <v>無償</v>
          </cell>
          <cell r="AO15" t="str">
            <v>通常体系</v>
          </cell>
          <cell r="AP15" t="str">
            <v>○</v>
          </cell>
          <cell r="AQ15">
            <v>40184</v>
          </cell>
          <cell r="AR15">
            <v>40177</v>
          </cell>
        </row>
        <row r="16">
          <cell r="H16" t="str">
            <v>1：新枠</v>
          </cell>
          <cell r="I16">
            <v>1</v>
          </cell>
          <cell r="J16" t="str">
            <v>B4</v>
          </cell>
          <cell r="K16">
            <v>16</v>
          </cell>
          <cell r="L16">
            <v>2</v>
          </cell>
          <cell r="M16" t="str">
            <v>夏</v>
          </cell>
          <cell r="N16">
            <v>39916</v>
          </cell>
          <cell r="O16">
            <v>39998</v>
          </cell>
          <cell r="P16">
            <v>83</v>
          </cell>
          <cell r="Q16" t="str">
            <v>35日前</v>
          </cell>
          <cell r="R16">
            <v>39881</v>
          </cell>
          <cell r="S16">
            <v>40002</v>
          </cell>
          <cell r="T16">
            <v>39898</v>
          </cell>
          <cell r="U16">
            <v>40033</v>
          </cell>
          <cell r="V16">
            <v>400</v>
          </cell>
          <cell r="W16">
            <v>385</v>
          </cell>
          <cell r="X16">
            <v>4</v>
          </cell>
          <cell r="Y16">
            <v>1</v>
          </cell>
          <cell r="Z16" t="str">
            <v>無償</v>
          </cell>
          <cell r="AA16" t="str">
            <v>通常体系</v>
          </cell>
          <cell r="AB16" t="str">
            <v>○</v>
          </cell>
          <cell r="AC16">
            <v>40229</v>
          </cell>
          <cell r="AD16">
            <v>700</v>
          </cell>
          <cell r="AE16" t="str">
            <v>35日前</v>
          </cell>
          <cell r="AF16">
            <v>39881</v>
          </cell>
          <cell r="AG16">
            <v>40002</v>
          </cell>
          <cell r="AH16">
            <v>39898</v>
          </cell>
          <cell r="AI16">
            <v>40033</v>
          </cell>
          <cell r="AJ16">
            <v>400</v>
          </cell>
          <cell r="AK16">
            <v>385</v>
          </cell>
          <cell r="AL16">
            <v>4</v>
          </cell>
          <cell r="AM16">
            <v>1</v>
          </cell>
          <cell r="AN16" t="str">
            <v>無償</v>
          </cell>
          <cell r="AO16" t="str">
            <v>通常体系</v>
          </cell>
          <cell r="AP16" t="str">
            <v>○</v>
          </cell>
          <cell r="AQ16">
            <v>40190</v>
          </cell>
          <cell r="AR16">
            <v>40177</v>
          </cell>
        </row>
        <row r="17">
          <cell r="H17" t="str">
            <v>3：増枠</v>
          </cell>
          <cell r="I17">
            <v>3</v>
          </cell>
          <cell r="J17" t="str">
            <v>A4変型版</v>
          </cell>
          <cell r="K17">
            <v>143</v>
          </cell>
          <cell r="L17">
            <v>2</v>
          </cell>
          <cell r="M17" t="str">
            <v>夏</v>
          </cell>
          <cell r="N17">
            <v>39916</v>
          </cell>
          <cell r="O17">
            <v>40005</v>
          </cell>
          <cell r="P17">
            <v>90</v>
          </cell>
          <cell r="Q17" t="str">
            <v>35日前</v>
          </cell>
          <cell r="R17">
            <v>39881</v>
          </cell>
          <cell r="S17">
            <v>40009</v>
          </cell>
          <cell r="T17">
            <v>39898</v>
          </cell>
          <cell r="U17">
            <v>40040</v>
          </cell>
          <cell r="V17" t="str">
            <v>5000→5200</v>
          </cell>
          <cell r="W17">
            <v>5167</v>
          </cell>
          <cell r="X17">
            <v>1</v>
          </cell>
          <cell r="Y17">
            <v>1</v>
          </cell>
          <cell r="Z17" t="str">
            <v>無償</v>
          </cell>
          <cell r="AA17" t="str">
            <v>通常体系</v>
          </cell>
          <cell r="AB17" t="str">
            <v>○</v>
          </cell>
          <cell r="AC17">
            <v>40145</v>
          </cell>
          <cell r="AD17">
            <v>50</v>
          </cell>
          <cell r="AE17" t="str">
            <v>35日前</v>
          </cell>
          <cell r="AF17">
            <v>39881</v>
          </cell>
          <cell r="AG17">
            <v>40009</v>
          </cell>
          <cell r="AH17">
            <v>39898</v>
          </cell>
          <cell r="AI17">
            <v>40040</v>
          </cell>
          <cell r="AJ17" t="str">
            <v>5000→5200</v>
          </cell>
          <cell r="AK17">
            <v>5167</v>
          </cell>
          <cell r="AL17">
            <v>1</v>
          </cell>
          <cell r="AM17">
            <v>1</v>
          </cell>
          <cell r="AN17" t="str">
            <v>無償</v>
          </cell>
          <cell r="AO17" t="str">
            <v>通常体系</v>
          </cell>
          <cell r="AP17" t="str">
            <v>○</v>
          </cell>
        </row>
        <row r="18">
          <cell r="H18" t="str">
            <v>0：通常</v>
          </cell>
          <cell r="I18">
            <v>0</v>
          </cell>
          <cell r="J18" t="str">
            <v>B4</v>
          </cell>
          <cell r="K18">
            <v>24</v>
          </cell>
          <cell r="L18">
            <v>2</v>
          </cell>
          <cell r="M18" t="str">
            <v>夏</v>
          </cell>
          <cell r="N18">
            <v>39916</v>
          </cell>
          <cell r="O18">
            <v>40012</v>
          </cell>
          <cell r="P18">
            <v>97</v>
          </cell>
          <cell r="Q18" t="str">
            <v>35日前</v>
          </cell>
          <cell r="R18">
            <v>39881</v>
          </cell>
          <cell r="S18">
            <v>40016</v>
          </cell>
          <cell r="T18">
            <v>39898</v>
          </cell>
          <cell r="U18">
            <v>40047</v>
          </cell>
          <cell r="V18">
            <v>1100</v>
          </cell>
          <cell r="W18">
            <v>1049</v>
          </cell>
          <cell r="X18">
            <v>2</v>
          </cell>
          <cell r="Y18">
            <v>1</v>
          </cell>
          <cell r="Z18" t="str">
            <v>無償</v>
          </cell>
          <cell r="AA18" t="str">
            <v>通常体系</v>
          </cell>
          <cell r="AB18" t="str">
            <v>×</v>
          </cell>
          <cell r="AC18">
            <v>40341</v>
          </cell>
          <cell r="AD18">
            <v>50</v>
          </cell>
          <cell r="AE18" t="str">
            <v>35日前</v>
          </cell>
          <cell r="AF18">
            <v>39881</v>
          </cell>
          <cell r="AG18">
            <v>40016</v>
          </cell>
          <cell r="AH18">
            <v>39898</v>
          </cell>
          <cell r="AI18">
            <v>40047</v>
          </cell>
          <cell r="AJ18">
            <v>1100</v>
          </cell>
          <cell r="AK18">
            <v>1049</v>
          </cell>
          <cell r="AL18">
            <v>2</v>
          </cell>
          <cell r="AM18">
            <v>1</v>
          </cell>
          <cell r="AN18" t="str">
            <v>無償</v>
          </cell>
          <cell r="AO18" t="str">
            <v>通常体系</v>
          </cell>
          <cell r="AP18" t="str">
            <v>×</v>
          </cell>
        </row>
        <row r="19">
          <cell r="H19" t="str">
            <v>1：新枠</v>
          </cell>
          <cell r="I19">
            <v>1</v>
          </cell>
          <cell r="J19" t="str">
            <v>B4</v>
          </cell>
          <cell r="K19">
            <v>8</v>
          </cell>
          <cell r="L19">
            <v>2</v>
          </cell>
          <cell r="M19" t="str">
            <v>夏</v>
          </cell>
          <cell r="N19">
            <v>39916</v>
          </cell>
          <cell r="O19">
            <v>40012</v>
          </cell>
          <cell r="P19">
            <v>97</v>
          </cell>
          <cell r="Q19" t="str">
            <v>35日前</v>
          </cell>
          <cell r="R19">
            <v>39881</v>
          </cell>
          <cell r="S19">
            <v>40016</v>
          </cell>
          <cell r="T19">
            <v>39898</v>
          </cell>
          <cell r="U19">
            <v>40047</v>
          </cell>
          <cell r="V19">
            <v>400</v>
          </cell>
          <cell r="W19">
            <v>376</v>
          </cell>
          <cell r="X19">
            <v>19</v>
          </cell>
          <cell r="Y19">
            <v>1</v>
          </cell>
          <cell r="Z19" t="str">
            <v>無償</v>
          </cell>
          <cell r="AA19" t="str">
            <v>通常体系</v>
          </cell>
          <cell r="AB19" t="str">
            <v>×</v>
          </cell>
          <cell r="AC19">
            <v>40292</v>
          </cell>
          <cell r="AD19">
            <v>100</v>
          </cell>
          <cell r="AE19" t="str">
            <v>35日前</v>
          </cell>
          <cell r="AF19">
            <v>39881</v>
          </cell>
          <cell r="AG19">
            <v>40016</v>
          </cell>
          <cell r="AH19">
            <v>39898</v>
          </cell>
          <cell r="AI19">
            <v>40047</v>
          </cell>
          <cell r="AJ19">
            <v>400</v>
          </cell>
          <cell r="AK19">
            <v>376</v>
          </cell>
          <cell r="AL19">
            <v>19</v>
          </cell>
          <cell r="AM19">
            <v>1</v>
          </cell>
          <cell r="AN19" t="str">
            <v>無償</v>
          </cell>
          <cell r="AO19" t="str">
            <v>通常体系</v>
          </cell>
          <cell r="AP19" t="str">
            <v>×</v>
          </cell>
        </row>
        <row r="20">
          <cell r="H20" t="str">
            <v>0：通常</v>
          </cell>
          <cell r="I20">
            <v>0</v>
          </cell>
          <cell r="J20" t="str">
            <v>B4</v>
          </cell>
          <cell r="K20">
            <v>24</v>
          </cell>
          <cell r="L20">
            <v>2</v>
          </cell>
          <cell r="M20" t="str">
            <v>夏</v>
          </cell>
          <cell r="N20">
            <v>39930</v>
          </cell>
          <cell r="O20">
            <v>40019</v>
          </cell>
          <cell r="P20">
            <v>90</v>
          </cell>
          <cell r="Q20" t="str">
            <v>35日前</v>
          </cell>
          <cell r="R20">
            <v>39895</v>
          </cell>
          <cell r="S20">
            <v>40023</v>
          </cell>
          <cell r="T20">
            <v>39912</v>
          </cell>
          <cell r="U20">
            <v>40054</v>
          </cell>
          <cell r="V20">
            <v>1900</v>
          </cell>
          <cell r="W20">
            <v>1881</v>
          </cell>
          <cell r="X20">
            <v>4</v>
          </cell>
          <cell r="Y20">
            <v>1</v>
          </cell>
          <cell r="Z20" t="str">
            <v>無償</v>
          </cell>
          <cell r="AA20" t="str">
            <v>通常体系</v>
          </cell>
          <cell r="AB20" t="str">
            <v>○</v>
          </cell>
          <cell r="AC20">
            <v>40278</v>
          </cell>
          <cell r="AD20">
            <v>100</v>
          </cell>
          <cell r="AE20" t="str">
            <v>35日前</v>
          </cell>
          <cell r="AF20">
            <v>39895</v>
          </cell>
          <cell r="AG20">
            <v>40023</v>
          </cell>
          <cell r="AH20">
            <v>39912</v>
          </cell>
          <cell r="AI20">
            <v>40054</v>
          </cell>
          <cell r="AJ20">
            <v>1900</v>
          </cell>
          <cell r="AK20">
            <v>1881</v>
          </cell>
          <cell r="AL20">
            <v>4</v>
          </cell>
          <cell r="AM20">
            <v>1</v>
          </cell>
          <cell r="AN20" t="str">
            <v>無償</v>
          </cell>
          <cell r="AO20" t="str">
            <v>通常体系</v>
          </cell>
          <cell r="AP20" t="str">
            <v>○</v>
          </cell>
        </row>
        <row r="21">
          <cell r="H21" t="str">
            <v>1：新枠</v>
          </cell>
          <cell r="I21">
            <v>1</v>
          </cell>
          <cell r="J21" t="str">
            <v>B4</v>
          </cell>
          <cell r="K21">
            <v>16</v>
          </cell>
          <cell r="L21">
            <v>2</v>
          </cell>
          <cell r="M21" t="str">
            <v>夏</v>
          </cell>
          <cell r="N21">
            <v>39930</v>
          </cell>
          <cell r="O21">
            <v>40026</v>
          </cell>
          <cell r="P21">
            <v>97</v>
          </cell>
          <cell r="Q21" t="str">
            <v>35日前</v>
          </cell>
          <cell r="R21">
            <v>39895</v>
          </cell>
          <cell r="S21">
            <v>40030</v>
          </cell>
          <cell r="T21">
            <v>39912</v>
          </cell>
          <cell r="U21">
            <v>40061</v>
          </cell>
          <cell r="V21">
            <v>500</v>
          </cell>
          <cell r="W21">
            <v>380</v>
          </cell>
          <cell r="X21">
            <v>4</v>
          </cell>
          <cell r="Y21">
            <v>1</v>
          </cell>
          <cell r="Z21" t="str">
            <v>無償</v>
          </cell>
          <cell r="AA21" t="str">
            <v>通常体系</v>
          </cell>
          <cell r="AB21" t="str">
            <v>○</v>
          </cell>
          <cell r="AC21">
            <v>40306</v>
          </cell>
          <cell r="AD21">
            <v>100</v>
          </cell>
          <cell r="AE21" t="str">
            <v>35日前</v>
          </cell>
          <cell r="AF21">
            <v>39895</v>
          </cell>
          <cell r="AG21">
            <v>40030</v>
          </cell>
          <cell r="AH21">
            <v>39912</v>
          </cell>
          <cell r="AI21">
            <v>40061</v>
          </cell>
          <cell r="AJ21">
            <v>500</v>
          </cell>
          <cell r="AK21">
            <v>380</v>
          </cell>
          <cell r="AL21">
            <v>4</v>
          </cell>
          <cell r="AM21">
            <v>1</v>
          </cell>
          <cell r="AN21" t="str">
            <v>無償</v>
          </cell>
          <cell r="AO21" t="str">
            <v>通常体系</v>
          </cell>
          <cell r="AP21" t="str">
            <v>○</v>
          </cell>
        </row>
        <row r="22">
          <cell r="H22" t="str">
            <v>1：新枠</v>
          </cell>
          <cell r="I22">
            <v>1</v>
          </cell>
          <cell r="J22" t="str">
            <v>B4</v>
          </cell>
          <cell r="K22">
            <v>8</v>
          </cell>
          <cell r="L22">
            <v>2</v>
          </cell>
          <cell r="M22" t="str">
            <v>夏</v>
          </cell>
          <cell r="N22">
            <v>39944</v>
          </cell>
          <cell r="O22">
            <v>40040</v>
          </cell>
          <cell r="P22">
            <v>97</v>
          </cell>
          <cell r="Q22" t="str">
            <v>35日前</v>
          </cell>
          <cell r="R22">
            <v>39909</v>
          </cell>
          <cell r="S22">
            <v>40044</v>
          </cell>
          <cell r="T22">
            <v>39926</v>
          </cell>
          <cell r="U22">
            <v>40075</v>
          </cell>
          <cell r="V22">
            <v>400</v>
          </cell>
          <cell r="W22">
            <v>358</v>
          </cell>
          <cell r="X22">
            <v>19</v>
          </cell>
          <cell r="Y22">
            <v>1</v>
          </cell>
          <cell r="Z22" t="str">
            <v>無償</v>
          </cell>
          <cell r="AA22" t="str">
            <v>通常体系</v>
          </cell>
          <cell r="AB22" t="str">
            <v>×</v>
          </cell>
          <cell r="AC22">
            <v>40306</v>
          </cell>
          <cell r="AD22">
            <v>100</v>
          </cell>
          <cell r="AE22" t="str">
            <v>35日前</v>
          </cell>
          <cell r="AF22">
            <v>39909</v>
          </cell>
          <cell r="AG22">
            <v>40044</v>
          </cell>
          <cell r="AH22">
            <v>39926</v>
          </cell>
          <cell r="AI22">
            <v>40075</v>
          </cell>
          <cell r="AJ22">
            <v>400</v>
          </cell>
          <cell r="AK22">
            <v>358</v>
          </cell>
          <cell r="AL22">
            <v>19</v>
          </cell>
          <cell r="AM22">
            <v>1</v>
          </cell>
          <cell r="AN22" t="str">
            <v>無償</v>
          </cell>
          <cell r="AO22" t="str">
            <v>通常体系</v>
          </cell>
          <cell r="AP22" t="str">
            <v>×</v>
          </cell>
        </row>
        <row r="23">
          <cell r="H23" t="str">
            <v>3：増枠</v>
          </cell>
          <cell r="I23">
            <v>3</v>
          </cell>
          <cell r="J23" t="str">
            <v>B4</v>
          </cell>
          <cell r="K23">
            <v>24</v>
          </cell>
          <cell r="L23">
            <v>5</v>
          </cell>
          <cell r="M23" t="str">
            <v>盛夏</v>
          </cell>
          <cell r="N23">
            <v>39951</v>
          </cell>
          <cell r="O23">
            <v>40068</v>
          </cell>
          <cell r="P23">
            <v>118</v>
          </cell>
          <cell r="Q23" t="str">
            <v>35日前</v>
          </cell>
          <cell r="R23">
            <v>39916</v>
          </cell>
          <cell r="S23">
            <v>40072</v>
          </cell>
          <cell r="T23">
            <v>39933</v>
          </cell>
          <cell r="U23">
            <v>40103</v>
          </cell>
          <cell r="V23">
            <v>1800</v>
          </cell>
          <cell r="W23">
            <v>1773</v>
          </cell>
          <cell r="X23">
            <v>19</v>
          </cell>
          <cell r="Y23">
            <v>1</v>
          </cell>
          <cell r="Z23" t="str">
            <v>無償</v>
          </cell>
          <cell r="AA23" t="str">
            <v>通常体系</v>
          </cell>
          <cell r="AB23" t="str">
            <v>×</v>
          </cell>
          <cell r="AE23" t="str">
            <v>35日前</v>
          </cell>
          <cell r="AF23">
            <v>39916</v>
          </cell>
          <cell r="AG23">
            <v>40072</v>
          </cell>
          <cell r="AH23">
            <v>39933</v>
          </cell>
          <cell r="AI23">
            <v>40103</v>
          </cell>
          <cell r="AJ23">
            <v>1800</v>
          </cell>
          <cell r="AK23">
            <v>1773</v>
          </cell>
          <cell r="AL23">
            <v>19</v>
          </cell>
          <cell r="AM23">
            <v>1</v>
          </cell>
          <cell r="AN23" t="str">
            <v>無償</v>
          </cell>
          <cell r="AO23" t="str">
            <v>通常体系</v>
          </cell>
          <cell r="AP23" t="str">
            <v>×</v>
          </cell>
        </row>
        <row r="24">
          <cell r="H24" t="str">
            <v>0：通常</v>
          </cell>
          <cell r="I24">
            <v>0</v>
          </cell>
          <cell r="J24" t="str">
            <v>B4</v>
          </cell>
          <cell r="K24">
            <v>24</v>
          </cell>
          <cell r="L24">
            <v>5</v>
          </cell>
          <cell r="M24" t="str">
            <v>盛夏</v>
          </cell>
          <cell r="N24">
            <v>39958</v>
          </cell>
          <cell r="O24">
            <v>40033</v>
          </cell>
          <cell r="P24">
            <v>76</v>
          </cell>
          <cell r="Q24" t="str">
            <v>35日前</v>
          </cell>
          <cell r="R24">
            <v>39923</v>
          </cell>
          <cell r="S24">
            <v>40037</v>
          </cell>
          <cell r="T24">
            <v>39940</v>
          </cell>
          <cell r="U24">
            <v>40068</v>
          </cell>
          <cell r="V24">
            <v>1100</v>
          </cell>
          <cell r="W24">
            <v>912</v>
          </cell>
          <cell r="X24">
            <v>19</v>
          </cell>
          <cell r="Y24">
            <v>1</v>
          </cell>
          <cell r="Z24" t="str">
            <v>無償</v>
          </cell>
          <cell r="AA24" t="str">
            <v>通常体系</v>
          </cell>
          <cell r="AB24" t="str">
            <v>×</v>
          </cell>
          <cell r="AE24" t="str">
            <v>35日前</v>
          </cell>
          <cell r="AF24">
            <v>39923</v>
          </cell>
          <cell r="AG24">
            <v>40037</v>
          </cell>
          <cell r="AH24">
            <v>39940</v>
          </cell>
          <cell r="AI24">
            <v>40068</v>
          </cell>
          <cell r="AJ24">
            <v>1100</v>
          </cell>
          <cell r="AK24">
            <v>912</v>
          </cell>
          <cell r="AL24">
            <v>19</v>
          </cell>
          <cell r="AM24">
            <v>1</v>
          </cell>
          <cell r="AN24" t="str">
            <v>無償</v>
          </cell>
          <cell r="AO24" t="str">
            <v>通常体系</v>
          </cell>
          <cell r="AP24" t="str">
            <v>×</v>
          </cell>
        </row>
        <row r="25">
          <cell r="H25" t="str">
            <v>1：新枠</v>
          </cell>
          <cell r="I25">
            <v>1</v>
          </cell>
          <cell r="J25" t="str">
            <v>A4</v>
          </cell>
          <cell r="K25">
            <v>71</v>
          </cell>
          <cell r="L25">
            <v>5</v>
          </cell>
          <cell r="M25" t="str">
            <v>盛夏</v>
          </cell>
          <cell r="N25">
            <v>39958</v>
          </cell>
          <cell r="O25">
            <v>40068</v>
          </cell>
          <cell r="P25">
            <v>111</v>
          </cell>
          <cell r="Q25" t="str">
            <v>35日前</v>
          </cell>
          <cell r="R25">
            <v>39923</v>
          </cell>
          <cell r="S25">
            <v>40072</v>
          </cell>
          <cell r="T25">
            <v>39940</v>
          </cell>
          <cell r="U25">
            <v>40103</v>
          </cell>
          <cell r="V25">
            <v>1500</v>
          </cell>
          <cell r="W25">
            <v>1321</v>
          </cell>
          <cell r="X25">
            <v>1</v>
          </cell>
          <cell r="Y25">
            <v>1</v>
          </cell>
          <cell r="Z25" t="str">
            <v>無償</v>
          </cell>
          <cell r="AA25" t="str">
            <v>通常体系</v>
          </cell>
          <cell r="AB25" t="str">
            <v>○</v>
          </cell>
          <cell r="AE25" t="str">
            <v>35日前</v>
          </cell>
          <cell r="AF25">
            <v>39923</v>
          </cell>
          <cell r="AG25">
            <v>40072</v>
          </cell>
          <cell r="AH25">
            <v>39940</v>
          </cell>
          <cell r="AI25">
            <v>40103</v>
          </cell>
          <cell r="AJ25">
            <v>1500</v>
          </cell>
          <cell r="AK25">
            <v>1321</v>
          </cell>
          <cell r="AL25">
            <v>1</v>
          </cell>
          <cell r="AM25">
            <v>1</v>
          </cell>
          <cell r="AN25" t="str">
            <v>無償</v>
          </cell>
          <cell r="AO25" t="str">
            <v>通常体系</v>
          </cell>
          <cell r="AP25" t="str">
            <v>○</v>
          </cell>
        </row>
        <row r="26">
          <cell r="H26" t="str">
            <v>1：新枠</v>
          </cell>
          <cell r="I26">
            <v>1</v>
          </cell>
          <cell r="J26" t="str">
            <v>B4</v>
          </cell>
          <cell r="K26">
            <v>16</v>
          </cell>
          <cell r="L26">
            <v>5</v>
          </cell>
          <cell r="M26" t="str">
            <v>盛夏</v>
          </cell>
          <cell r="N26">
            <v>39951</v>
          </cell>
          <cell r="O26">
            <v>40054</v>
          </cell>
          <cell r="P26">
            <v>104</v>
          </cell>
          <cell r="Q26" t="str">
            <v>35日前</v>
          </cell>
          <cell r="R26">
            <v>39916</v>
          </cell>
          <cell r="S26">
            <v>40058</v>
          </cell>
          <cell r="T26">
            <v>39933</v>
          </cell>
          <cell r="U26">
            <v>40089</v>
          </cell>
          <cell r="V26">
            <v>900</v>
          </cell>
          <cell r="W26">
            <v>866</v>
          </cell>
          <cell r="X26">
            <v>15</v>
          </cell>
          <cell r="Y26">
            <v>1</v>
          </cell>
          <cell r="Z26" t="str">
            <v>無償</v>
          </cell>
          <cell r="AA26" t="str">
            <v>通常体系</v>
          </cell>
          <cell r="AB26" t="str">
            <v>×</v>
          </cell>
          <cell r="AE26" t="str">
            <v>35日前</v>
          </cell>
          <cell r="AF26">
            <v>39916</v>
          </cell>
          <cell r="AG26">
            <v>40058</v>
          </cell>
          <cell r="AH26">
            <v>39933</v>
          </cell>
          <cell r="AI26">
            <v>40089</v>
          </cell>
          <cell r="AJ26">
            <v>900</v>
          </cell>
          <cell r="AK26">
            <v>866</v>
          </cell>
          <cell r="AL26">
            <v>15</v>
          </cell>
          <cell r="AM26">
            <v>1</v>
          </cell>
          <cell r="AN26" t="str">
            <v>無償</v>
          </cell>
          <cell r="AO26" t="str">
            <v>通常体系</v>
          </cell>
          <cell r="AP26" t="str">
            <v>×</v>
          </cell>
        </row>
        <row r="27">
          <cell r="H27" t="str">
            <v>0：通常</v>
          </cell>
          <cell r="I27">
            <v>0</v>
          </cell>
          <cell r="J27" t="str">
            <v>A4変型版</v>
          </cell>
          <cell r="K27">
            <v>104</v>
          </cell>
          <cell r="L27">
            <v>5</v>
          </cell>
          <cell r="M27" t="str">
            <v>盛夏</v>
          </cell>
          <cell r="N27">
            <v>39965</v>
          </cell>
          <cell r="O27">
            <v>40082</v>
          </cell>
          <cell r="P27">
            <v>118</v>
          </cell>
          <cell r="Q27" t="str">
            <v>35日前</v>
          </cell>
          <cell r="R27">
            <v>39930</v>
          </cell>
          <cell r="S27">
            <v>40086</v>
          </cell>
          <cell r="T27">
            <v>39947</v>
          </cell>
          <cell r="U27">
            <v>40117</v>
          </cell>
          <cell r="V27">
            <v>2700</v>
          </cell>
          <cell r="W27">
            <v>2661</v>
          </cell>
          <cell r="X27">
            <v>98</v>
          </cell>
          <cell r="Y27">
            <v>1</v>
          </cell>
          <cell r="Z27" t="str">
            <v>無償</v>
          </cell>
          <cell r="AA27" t="str">
            <v>通常体系</v>
          </cell>
          <cell r="AB27" t="str">
            <v>×</v>
          </cell>
          <cell r="AE27" t="str">
            <v>35日前</v>
          </cell>
          <cell r="AF27">
            <v>39930</v>
          </cell>
          <cell r="AG27">
            <v>40086</v>
          </cell>
          <cell r="AH27">
            <v>39947</v>
          </cell>
          <cell r="AI27">
            <v>40117</v>
          </cell>
          <cell r="AJ27">
            <v>2700</v>
          </cell>
          <cell r="AK27">
            <v>2661</v>
          </cell>
          <cell r="AL27">
            <v>98</v>
          </cell>
          <cell r="AM27">
            <v>1</v>
          </cell>
          <cell r="AN27" t="str">
            <v>無償</v>
          </cell>
          <cell r="AO27" t="str">
            <v>通常体系</v>
          </cell>
          <cell r="AP27" t="str">
            <v>×</v>
          </cell>
        </row>
        <row r="28">
          <cell r="H28" t="str">
            <v>0：通常</v>
          </cell>
          <cell r="I28">
            <v>0</v>
          </cell>
          <cell r="J28" t="str">
            <v>B4</v>
          </cell>
          <cell r="K28">
            <v>24</v>
          </cell>
          <cell r="L28">
            <v>5</v>
          </cell>
          <cell r="M28" t="str">
            <v>盛夏</v>
          </cell>
          <cell r="N28">
            <v>39965</v>
          </cell>
          <cell r="O28">
            <v>40061</v>
          </cell>
          <cell r="P28">
            <v>97</v>
          </cell>
          <cell r="Q28" t="str">
            <v>35日前</v>
          </cell>
          <cell r="R28">
            <v>39930</v>
          </cell>
          <cell r="S28">
            <v>40065</v>
          </cell>
          <cell r="T28">
            <v>39947</v>
          </cell>
          <cell r="U28">
            <v>40096</v>
          </cell>
          <cell r="V28" t="str">
            <v>1200→1500→1800</v>
          </cell>
          <cell r="W28">
            <v>1585</v>
          </cell>
          <cell r="X28">
            <v>14</v>
          </cell>
          <cell r="Y28">
            <v>1</v>
          </cell>
          <cell r="Z28" t="str">
            <v>無償</v>
          </cell>
          <cell r="AA28" t="str">
            <v>通常体系</v>
          </cell>
          <cell r="AB28" t="str">
            <v>×</v>
          </cell>
          <cell r="AE28" t="str">
            <v>35日前</v>
          </cell>
          <cell r="AF28">
            <v>39930</v>
          </cell>
          <cell r="AG28">
            <v>40065</v>
          </cell>
          <cell r="AH28">
            <v>39947</v>
          </cell>
          <cell r="AI28">
            <v>40096</v>
          </cell>
          <cell r="AJ28" t="str">
            <v>1200→1500→1800</v>
          </cell>
          <cell r="AK28">
            <v>1585</v>
          </cell>
          <cell r="AL28">
            <v>14</v>
          </cell>
          <cell r="AM28">
            <v>1</v>
          </cell>
          <cell r="AN28" t="str">
            <v>無償</v>
          </cell>
          <cell r="AO28" t="str">
            <v>通常体系</v>
          </cell>
          <cell r="AP28" t="str">
            <v>×</v>
          </cell>
        </row>
        <row r="29">
          <cell r="H29" t="str">
            <v>0：通常</v>
          </cell>
          <cell r="I29">
            <v>0</v>
          </cell>
          <cell r="J29" t="str">
            <v>B4</v>
          </cell>
          <cell r="K29">
            <v>16</v>
          </cell>
          <cell r="L29">
            <v>5</v>
          </cell>
          <cell r="M29" t="str">
            <v>盛夏</v>
          </cell>
          <cell r="N29">
            <v>39972</v>
          </cell>
          <cell r="O29">
            <v>40075</v>
          </cell>
          <cell r="P29">
            <v>104</v>
          </cell>
          <cell r="Q29" t="str">
            <v>35日前</v>
          </cell>
          <cell r="R29">
            <v>39937</v>
          </cell>
          <cell r="S29">
            <v>40079</v>
          </cell>
          <cell r="T29">
            <v>39954</v>
          </cell>
          <cell r="U29">
            <v>40110</v>
          </cell>
          <cell r="V29" t="str">
            <v>1300→1400</v>
          </cell>
          <cell r="W29">
            <v>1357</v>
          </cell>
          <cell r="X29">
            <v>4</v>
          </cell>
          <cell r="Y29">
            <v>1</v>
          </cell>
          <cell r="Z29" t="str">
            <v>無償</v>
          </cell>
          <cell r="AA29" t="str">
            <v>通常体系</v>
          </cell>
          <cell r="AB29" t="str">
            <v>○</v>
          </cell>
          <cell r="AE29" t="str">
            <v>35日前</v>
          </cell>
          <cell r="AF29">
            <v>39937</v>
          </cell>
          <cell r="AG29">
            <v>40079</v>
          </cell>
          <cell r="AH29">
            <v>39954</v>
          </cell>
          <cell r="AI29">
            <v>40110</v>
          </cell>
          <cell r="AJ29" t="str">
            <v>1300→1400</v>
          </cell>
          <cell r="AK29">
            <v>1357</v>
          </cell>
          <cell r="AL29">
            <v>4</v>
          </cell>
          <cell r="AM29">
            <v>1</v>
          </cell>
          <cell r="AN29" t="str">
            <v>無償</v>
          </cell>
          <cell r="AO29" t="str">
            <v>通常体系</v>
          </cell>
          <cell r="AP29" t="str">
            <v>○</v>
          </cell>
        </row>
        <row r="30">
          <cell r="H30" t="str">
            <v>1：新枠</v>
          </cell>
          <cell r="I30">
            <v>1</v>
          </cell>
          <cell r="J30" t="str">
            <v>B4</v>
          </cell>
          <cell r="K30">
            <v>8</v>
          </cell>
          <cell r="L30">
            <v>5</v>
          </cell>
          <cell r="M30" t="str">
            <v>盛夏</v>
          </cell>
          <cell r="N30">
            <v>39993</v>
          </cell>
          <cell r="O30">
            <v>40068</v>
          </cell>
          <cell r="P30">
            <v>76</v>
          </cell>
          <cell r="Q30" t="str">
            <v>35日前</v>
          </cell>
          <cell r="R30">
            <v>39958</v>
          </cell>
          <cell r="S30">
            <v>40072</v>
          </cell>
          <cell r="T30">
            <v>39975</v>
          </cell>
          <cell r="U30">
            <v>40103</v>
          </cell>
          <cell r="V30">
            <v>180</v>
          </cell>
          <cell r="W30">
            <v>144</v>
          </cell>
          <cell r="X30">
            <v>19</v>
          </cell>
          <cell r="Y30">
            <v>1</v>
          </cell>
          <cell r="Z30" t="str">
            <v>無償</v>
          </cell>
          <cell r="AA30" t="str">
            <v>通常体系</v>
          </cell>
          <cell r="AB30" t="str">
            <v>×</v>
          </cell>
          <cell r="AE30" t="str">
            <v>35日前</v>
          </cell>
          <cell r="AF30">
            <v>39958</v>
          </cell>
          <cell r="AG30">
            <v>40072</v>
          </cell>
          <cell r="AH30">
            <v>39975</v>
          </cell>
          <cell r="AI30">
            <v>40103</v>
          </cell>
          <cell r="AJ30">
            <v>180</v>
          </cell>
          <cell r="AK30">
            <v>144</v>
          </cell>
          <cell r="AL30">
            <v>19</v>
          </cell>
          <cell r="AM30">
            <v>1</v>
          </cell>
          <cell r="AN30" t="str">
            <v>無償</v>
          </cell>
          <cell r="AO30" t="str">
            <v>通常体系</v>
          </cell>
          <cell r="AP30" t="str">
            <v>×</v>
          </cell>
        </row>
        <row r="31">
          <cell r="H31" t="str">
            <v>1：新枠</v>
          </cell>
          <cell r="I31">
            <v>1</v>
          </cell>
          <cell r="J31" t="str">
            <v>B4</v>
          </cell>
          <cell r="K31">
            <v>8</v>
          </cell>
          <cell r="L31">
            <v>5</v>
          </cell>
          <cell r="M31" t="str">
            <v>盛夏</v>
          </cell>
          <cell r="N31">
            <v>39986</v>
          </cell>
          <cell r="O31">
            <v>40061</v>
          </cell>
          <cell r="P31">
            <v>76</v>
          </cell>
          <cell r="Q31" t="str">
            <v>35日前</v>
          </cell>
          <cell r="R31">
            <v>39951</v>
          </cell>
          <cell r="S31">
            <v>40065</v>
          </cell>
          <cell r="T31">
            <v>39968</v>
          </cell>
          <cell r="U31">
            <v>40096</v>
          </cell>
          <cell r="V31">
            <v>300</v>
          </cell>
          <cell r="W31">
            <v>279</v>
          </cell>
          <cell r="X31">
            <v>15</v>
          </cell>
          <cell r="Y31">
            <v>1</v>
          </cell>
          <cell r="Z31" t="str">
            <v>無償</v>
          </cell>
          <cell r="AA31" t="str">
            <v>通常体系</v>
          </cell>
          <cell r="AB31" t="str">
            <v>×</v>
          </cell>
          <cell r="AE31" t="str">
            <v>35日前</v>
          </cell>
          <cell r="AF31">
            <v>39951</v>
          </cell>
          <cell r="AG31">
            <v>40065</v>
          </cell>
          <cell r="AH31">
            <v>39968</v>
          </cell>
          <cell r="AI31">
            <v>40096</v>
          </cell>
          <cell r="AJ31">
            <v>300</v>
          </cell>
          <cell r="AK31">
            <v>279</v>
          </cell>
          <cell r="AL31">
            <v>15</v>
          </cell>
          <cell r="AM31">
            <v>1</v>
          </cell>
          <cell r="AN31" t="str">
            <v>無償</v>
          </cell>
          <cell r="AO31" t="str">
            <v>通常体系</v>
          </cell>
          <cell r="AP31" t="str">
            <v>×</v>
          </cell>
        </row>
        <row r="32">
          <cell r="H32" t="str">
            <v>0：通常</v>
          </cell>
          <cell r="I32">
            <v>0</v>
          </cell>
          <cell r="J32" t="str">
            <v>B4</v>
          </cell>
          <cell r="K32">
            <v>24</v>
          </cell>
          <cell r="L32">
            <v>5</v>
          </cell>
          <cell r="M32" t="str">
            <v>盛夏</v>
          </cell>
          <cell r="N32">
            <v>39979</v>
          </cell>
          <cell r="O32">
            <v>40082</v>
          </cell>
          <cell r="P32">
            <v>104</v>
          </cell>
          <cell r="Q32" t="str">
            <v>35日前</v>
          </cell>
          <cell r="R32">
            <v>39944</v>
          </cell>
          <cell r="S32">
            <v>40086</v>
          </cell>
          <cell r="T32">
            <v>39961</v>
          </cell>
          <cell r="U32">
            <v>40117</v>
          </cell>
          <cell r="V32">
            <v>1000</v>
          </cell>
          <cell r="W32">
            <v>944</v>
          </cell>
          <cell r="X32">
            <v>2</v>
          </cell>
          <cell r="Y32">
            <v>1</v>
          </cell>
          <cell r="Z32" t="str">
            <v>無償</v>
          </cell>
          <cell r="AA32" t="str">
            <v>通常体系</v>
          </cell>
          <cell r="AB32" t="str">
            <v>×</v>
          </cell>
          <cell r="AE32" t="str">
            <v>35日前</v>
          </cell>
          <cell r="AF32">
            <v>39944</v>
          </cell>
          <cell r="AG32">
            <v>40086</v>
          </cell>
          <cell r="AH32">
            <v>39961</v>
          </cell>
          <cell r="AI32">
            <v>40117</v>
          </cell>
          <cell r="AJ32">
            <v>1000</v>
          </cell>
          <cell r="AK32">
            <v>944</v>
          </cell>
          <cell r="AL32">
            <v>2</v>
          </cell>
          <cell r="AM32">
            <v>1</v>
          </cell>
          <cell r="AN32" t="str">
            <v>無償</v>
          </cell>
          <cell r="AO32" t="str">
            <v>通常体系</v>
          </cell>
          <cell r="AP32" t="str">
            <v>×</v>
          </cell>
        </row>
        <row r="33">
          <cell r="H33" t="str">
            <v>0：通常</v>
          </cell>
          <cell r="I33">
            <v>0</v>
          </cell>
          <cell r="J33" t="str">
            <v>B4</v>
          </cell>
          <cell r="K33">
            <v>16</v>
          </cell>
          <cell r="L33">
            <v>5</v>
          </cell>
          <cell r="M33" t="str">
            <v>盛夏</v>
          </cell>
          <cell r="N33">
            <v>39979</v>
          </cell>
          <cell r="O33">
            <v>40061</v>
          </cell>
          <cell r="P33">
            <v>83</v>
          </cell>
          <cell r="Q33" t="str">
            <v>35日前</v>
          </cell>
          <cell r="R33">
            <v>39944</v>
          </cell>
          <cell r="S33">
            <v>40065</v>
          </cell>
          <cell r="T33">
            <v>39961</v>
          </cell>
          <cell r="U33">
            <v>40096</v>
          </cell>
          <cell r="V33" t="str">
            <v>700→600</v>
          </cell>
          <cell r="W33">
            <v>573</v>
          </cell>
          <cell r="X33">
            <v>19</v>
          </cell>
          <cell r="Y33">
            <v>1</v>
          </cell>
          <cell r="Z33" t="str">
            <v>無償</v>
          </cell>
          <cell r="AA33" t="str">
            <v>通常体系</v>
          </cell>
          <cell r="AB33" t="str">
            <v>×</v>
          </cell>
          <cell r="AE33" t="str">
            <v>35日前</v>
          </cell>
          <cell r="AF33">
            <v>39944</v>
          </cell>
          <cell r="AG33">
            <v>40065</v>
          </cell>
          <cell r="AH33">
            <v>39961</v>
          </cell>
          <cell r="AI33">
            <v>40096</v>
          </cell>
          <cell r="AJ33" t="str">
            <v>700→600</v>
          </cell>
          <cell r="AK33">
            <v>573</v>
          </cell>
          <cell r="AL33">
            <v>19</v>
          </cell>
          <cell r="AM33">
            <v>1</v>
          </cell>
          <cell r="AN33" t="str">
            <v>無償</v>
          </cell>
          <cell r="AO33" t="str">
            <v>通常体系</v>
          </cell>
          <cell r="AP33" t="str">
            <v>×</v>
          </cell>
        </row>
        <row r="34">
          <cell r="H34" t="str">
            <v>0：通常</v>
          </cell>
          <cell r="I34">
            <v>0</v>
          </cell>
          <cell r="J34" t="str">
            <v>B4</v>
          </cell>
          <cell r="K34">
            <v>16</v>
          </cell>
          <cell r="L34">
            <v>5</v>
          </cell>
          <cell r="M34" t="str">
            <v>盛夏</v>
          </cell>
          <cell r="N34">
            <v>39979</v>
          </cell>
          <cell r="O34">
            <v>40061</v>
          </cell>
          <cell r="P34">
            <v>83</v>
          </cell>
          <cell r="Q34" t="str">
            <v>35日前</v>
          </cell>
          <cell r="R34">
            <v>39944</v>
          </cell>
          <cell r="S34">
            <v>40065</v>
          </cell>
          <cell r="T34">
            <v>39961</v>
          </cell>
          <cell r="U34">
            <v>40096</v>
          </cell>
          <cell r="V34">
            <v>700</v>
          </cell>
          <cell r="W34">
            <v>656</v>
          </cell>
          <cell r="X34">
            <v>4</v>
          </cell>
          <cell r="Y34">
            <v>1</v>
          </cell>
          <cell r="Z34" t="str">
            <v>無償</v>
          </cell>
          <cell r="AA34" t="str">
            <v>通常体系</v>
          </cell>
          <cell r="AB34" t="str">
            <v>○</v>
          </cell>
          <cell r="AE34" t="str">
            <v>35日前</v>
          </cell>
          <cell r="AF34">
            <v>39944</v>
          </cell>
          <cell r="AG34">
            <v>40065</v>
          </cell>
          <cell r="AH34">
            <v>39961</v>
          </cell>
          <cell r="AI34">
            <v>40096</v>
          </cell>
          <cell r="AJ34">
            <v>700</v>
          </cell>
          <cell r="AK34">
            <v>656</v>
          </cell>
          <cell r="AL34">
            <v>4</v>
          </cell>
          <cell r="AM34">
            <v>1</v>
          </cell>
          <cell r="AN34" t="str">
            <v>無償</v>
          </cell>
          <cell r="AO34" t="str">
            <v>通常体系</v>
          </cell>
          <cell r="AP34" t="str">
            <v>○</v>
          </cell>
        </row>
        <row r="35">
          <cell r="H35" t="str">
            <v>1：新枠</v>
          </cell>
          <cell r="I35">
            <v>1</v>
          </cell>
          <cell r="J35" t="str">
            <v>B4</v>
          </cell>
          <cell r="K35">
            <v>8</v>
          </cell>
          <cell r="L35">
            <v>5</v>
          </cell>
          <cell r="M35" t="str">
            <v>盛夏</v>
          </cell>
          <cell r="N35">
            <v>39979</v>
          </cell>
          <cell r="O35">
            <v>40075</v>
          </cell>
          <cell r="P35">
            <v>97</v>
          </cell>
          <cell r="Q35" t="str">
            <v>35日前</v>
          </cell>
          <cell r="R35">
            <v>39944</v>
          </cell>
          <cell r="S35">
            <v>40079</v>
          </cell>
          <cell r="T35">
            <v>39961</v>
          </cell>
          <cell r="U35">
            <v>40110</v>
          </cell>
          <cell r="V35">
            <v>400</v>
          </cell>
          <cell r="W35">
            <v>295</v>
          </cell>
          <cell r="X35">
            <v>15</v>
          </cell>
          <cell r="Y35">
            <v>1</v>
          </cell>
          <cell r="Z35" t="str">
            <v>無償</v>
          </cell>
          <cell r="AA35" t="str">
            <v>通常体系</v>
          </cell>
          <cell r="AB35" t="str">
            <v>×</v>
          </cell>
          <cell r="AE35" t="str">
            <v>35日前</v>
          </cell>
          <cell r="AF35">
            <v>39944</v>
          </cell>
          <cell r="AG35">
            <v>40079</v>
          </cell>
          <cell r="AH35">
            <v>39961</v>
          </cell>
          <cell r="AI35">
            <v>40110</v>
          </cell>
          <cell r="AJ35">
            <v>400</v>
          </cell>
          <cell r="AK35">
            <v>295</v>
          </cell>
          <cell r="AL35">
            <v>15</v>
          </cell>
          <cell r="AM35">
            <v>1</v>
          </cell>
          <cell r="AN35" t="str">
            <v>無償</v>
          </cell>
          <cell r="AO35" t="str">
            <v>通常体系</v>
          </cell>
          <cell r="AP35" t="str">
            <v>×</v>
          </cell>
        </row>
        <row r="36">
          <cell r="H36" t="str">
            <v>0：通常</v>
          </cell>
          <cell r="I36">
            <v>0</v>
          </cell>
          <cell r="J36" t="str">
            <v>B4</v>
          </cell>
          <cell r="K36">
            <v>16</v>
          </cell>
          <cell r="L36">
            <v>5</v>
          </cell>
          <cell r="M36" t="str">
            <v>盛夏</v>
          </cell>
          <cell r="N36">
            <v>39993</v>
          </cell>
          <cell r="O36">
            <v>40082</v>
          </cell>
          <cell r="P36">
            <v>90</v>
          </cell>
          <cell r="Q36" t="str">
            <v>35日前</v>
          </cell>
          <cell r="R36">
            <v>39958</v>
          </cell>
          <cell r="S36">
            <v>40086</v>
          </cell>
          <cell r="T36">
            <v>39975</v>
          </cell>
          <cell r="U36">
            <v>40117</v>
          </cell>
          <cell r="V36">
            <v>800</v>
          </cell>
          <cell r="W36">
            <v>715</v>
          </cell>
          <cell r="X36">
            <v>19</v>
          </cell>
          <cell r="Y36">
            <v>1</v>
          </cell>
          <cell r="Z36" t="str">
            <v>無償</v>
          </cell>
          <cell r="AA36" t="str">
            <v>通常体系</v>
          </cell>
          <cell r="AB36" t="str">
            <v>×</v>
          </cell>
          <cell r="AE36" t="str">
            <v>35日前</v>
          </cell>
          <cell r="AF36">
            <v>39958</v>
          </cell>
          <cell r="AG36">
            <v>40086</v>
          </cell>
          <cell r="AH36">
            <v>39975</v>
          </cell>
          <cell r="AI36">
            <v>40117</v>
          </cell>
          <cell r="AJ36">
            <v>800</v>
          </cell>
          <cell r="AK36">
            <v>715</v>
          </cell>
          <cell r="AL36">
            <v>19</v>
          </cell>
          <cell r="AM36">
            <v>1</v>
          </cell>
          <cell r="AN36" t="str">
            <v>無償</v>
          </cell>
          <cell r="AO36" t="str">
            <v>通常体系</v>
          </cell>
          <cell r="AP36" t="str">
            <v>×</v>
          </cell>
        </row>
        <row r="37">
          <cell r="H37" t="str">
            <v>1：新枠</v>
          </cell>
          <cell r="I37">
            <v>1</v>
          </cell>
          <cell r="J37" t="str">
            <v>B4</v>
          </cell>
          <cell r="K37">
            <v>16</v>
          </cell>
          <cell r="L37">
            <v>2</v>
          </cell>
          <cell r="M37" t="str">
            <v>盛夏</v>
          </cell>
          <cell r="N37">
            <v>39979</v>
          </cell>
          <cell r="O37">
            <v>40061</v>
          </cell>
          <cell r="P37">
            <v>83</v>
          </cell>
          <cell r="Q37" t="str">
            <v>35日前</v>
          </cell>
          <cell r="R37">
            <v>39944</v>
          </cell>
          <cell r="S37">
            <v>40065</v>
          </cell>
          <cell r="T37">
            <v>39961</v>
          </cell>
          <cell r="U37">
            <v>40096</v>
          </cell>
          <cell r="V37">
            <v>800</v>
          </cell>
          <cell r="W37">
            <v>735</v>
          </cell>
          <cell r="X37">
            <v>2</v>
          </cell>
          <cell r="Y37">
            <v>1</v>
          </cell>
          <cell r="Z37" t="str">
            <v>無償</v>
          </cell>
          <cell r="AA37" t="str">
            <v>通常体系</v>
          </cell>
          <cell r="AB37" t="str">
            <v>×</v>
          </cell>
          <cell r="AE37" t="str">
            <v>35日前</v>
          </cell>
          <cell r="AF37">
            <v>39944</v>
          </cell>
          <cell r="AG37">
            <v>40065</v>
          </cell>
          <cell r="AH37">
            <v>39961</v>
          </cell>
          <cell r="AI37">
            <v>40096</v>
          </cell>
          <cell r="AJ37">
            <v>800</v>
          </cell>
          <cell r="AK37">
            <v>735</v>
          </cell>
          <cell r="AL37">
            <v>2</v>
          </cell>
          <cell r="AM37">
            <v>1</v>
          </cell>
          <cell r="AN37" t="str">
            <v>無償</v>
          </cell>
          <cell r="AO37" t="str">
            <v>通常体系</v>
          </cell>
          <cell r="AP37" t="str">
            <v>×</v>
          </cell>
        </row>
        <row r="38">
          <cell r="H38" t="str">
            <v>0：通常</v>
          </cell>
          <cell r="I38">
            <v>0</v>
          </cell>
          <cell r="J38" t="str">
            <v>B4</v>
          </cell>
          <cell r="K38">
            <v>16</v>
          </cell>
          <cell r="L38">
            <v>3</v>
          </cell>
          <cell r="M38" t="str">
            <v>秋</v>
          </cell>
          <cell r="N38">
            <v>40035</v>
          </cell>
          <cell r="O38">
            <v>40152</v>
          </cell>
          <cell r="P38">
            <v>118</v>
          </cell>
          <cell r="Q38" t="str">
            <v>35日前</v>
          </cell>
          <cell r="R38">
            <v>40000</v>
          </cell>
          <cell r="S38">
            <v>40156</v>
          </cell>
          <cell r="T38">
            <v>40017</v>
          </cell>
          <cell r="U38">
            <v>40187</v>
          </cell>
          <cell r="V38" t="str">
            <v>600→500</v>
          </cell>
          <cell r="W38">
            <v>385</v>
          </cell>
          <cell r="X38">
            <v>21</v>
          </cell>
          <cell r="Y38">
            <v>1</v>
          </cell>
          <cell r="Z38" t="str">
            <v>無償</v>
          </cell>
          <cell r="AA38" t="str">
            <v>通常体系</v>
          </cell>
          <cell r="AB38" t="str">
            <v>×</v>
          </cell>
          <cell r="AE38" t="str">
            <v>35日前</v>
          </cell>
          <cell r="AF38">
            <v>40000</v>
          </cell>
          <cell r="AG38">
            <v>40156</v>
          </cell>
          <cell r="AH38">
            <v>40017</v>
          </cell>
          <cell r="AI38">
            <v>40187</v>
          </cell>
          <cell r="AJ38" t="str">
            <v>600→500</v>
          </cell>
          <cell r="AK38">
            <v>385</v>
          </cell>
          <cell r="AL38">
            <v>21</v>
          </cell>
          <cell r="AM38">
            <v>1</v>
          </cell>
          <cell r="AN38" t="str">
            <v>無償</v>
          </cell>
          <cell r="AO38" t="str">
            <v>通常体系</v>
          </cell>
          <cell r="AP38" t="str">
            <v>×</v>
          </cell>
        </row>
        <row r="39">
          <cell r="H39" t="str">
            <v>0：通常</v>
          </cell>
          <cell r="I39">
            <v>0</v>
          </cell>
          <cell r="J39" t="str">
            <v>B4</v>
          </cell>
          <cell r="K39">
            <v>16</v>
          </cell>
          <cell r="L39">
            <v>3</v>
          </cell>
          <cell r="M39" t="str">
            <v>秋</v>
          </cell>
          <cell r="N39">
            <v>40035</v>
          </cell>
          <cell r="O39">
            <v>40131</v>
          </cell>
          <cell r="P39">
            <v>97</v>
          </cell>
          <cell r="Q39" t="str">
            <v>35日前</v>
          </cell>
          <cell r="R39">
            <v>40000</v>
          </cell>
          <cell r="S39">
            <v>40135</v>
          </cell>
          <cell r="T39">
            <v>40017</v>
          </cell>
          <cell r="U39">
            <v>40166</v>
          </cell>
          <cell r="V39">
            <v>600</v>
          </cell>
          <cell r="W39">
            <v>519</v>
          </cell>
          <cell r="X39">
            <v>4</v>
          </cell>
          <cell r="Y39">
            <v>1</v>
          </cell>
          <cell r="Z39" t="str">
            <v>無償</v>
          </cell>
          <cell r="AA39" t="str">
            <v>通常体系</v>
          </cell>
          <cell r="AB39" t="str">
            <v>○</v>
          </cell>
          <cell r="AE39" t="str">
            <v>35日前</v>
          </cell>
          <cell r="AF39">
            <v>40000</v>
          </cell>
          <cell r="AG39">
            <v>40135</v>
          </cell>
          <cell r="AH39">
            <v>40017</v>
          </cell>
          <cell r="AI39">
            <v>40166</v>
          </cell>
          <cell r="AJ39">
            <v>600</v>
          </cell>
          <cell r="AK39">
            <v>519</v>
          </cell>
          <cell r="AL39">
            <v>4</v>
          </cell>
          <cell r="AM39">
            <v>1</v>
          </cell>
          <cell r="AN39" t="str">
            <v>無償</v>
          </cell>
          <cell r="AO39" t="str">
            <v>通常体系</v>
          </cell>
          <cell r="AP39" t="str">
            <v>○</v>
          </cell>
        </row>
        <row r="40">
          <cell r="H40" t="str">
            <v>0：通常</v>
          </cell>
          <cell r="I40">
            <v>0</v>
          </cell>
          <cell r="J40" t="str">
            <v>B4</v>
          </cell>
          <cell r="K40">
            <v>16</v>
          </cell>
          <cell r="L40">
            <v>3</v>
          </cell>
          <cell r="M40" t="str">
            <v>秋</v>
          </cell>
          <cell r="N40">
            <v>40035</v>
          </cell>
          <cell r="O40">
            <v>40124</v>
          </cell>
          <cell r="P40">
            <v>90</v>
          </cell>
          <cell r="Q40" t="str">
            <v>35日前</v>
          </cell>
          <cell r="R40">
            <v>40000</v>
          </cell>
          <cell r="S40">
            <v>40128</v>
          </cell>
          <cell r="T40">
            <v>40017</v>
          </cell>
          <cell r="U40">
            <v>40159</v>
          </cell>
          <cell r="V40" t="str">
            <v>800→900</v>
          </cell>
          <cell r="W40">
            <v>802</v>
          </cell>
          <cell r="X40">
            <v>2</v>
          </cell>
          <cell r="Y40">
            <v>1</v>
          </cell>
          <cell r="Z40" t="str">
            <v>無償</v>
          </cell>
          <cell r="AA40" t="str">
            <v>通常体系</v>
          </cell>
          <cell r="AB40" t="str">
            <v>×</v>
          </cell>
          <cell r="AE40" t="str">
            <v>35日前</v>
          </cell>
          <cell r="AF40">
            <v>40000</v>
          </cell>
          <cell r="AG40">
            <v>40128</v>
          </cell>
          <cell r="AH40">
            <v>40017</v>
          </cell>
          <cell r="AI40">
            <v>40159</v>
          </cell>
          <cell r="AJ40" t="str">
            <v>800→900</v>
          </cell>
          <cell r="AK40">
            <v>802</v>
          </cell>
          <cell r="AL40">
            <v>2</v>
          </cell>
          <cell r="AM40">
            <v>1</v>
          </cell>
          <cell r="AN40" t="str">
            <v>無償</v>
          </cell>
          <cell r="AO40" t="str">
            <v>通常体系</v>
          </cell>
          <cell r="AP40" t="str">
            <v>×</v>
          </cell>
        </row>
        <row r="41">
          <cell r="H41" t="str">
            <v>0：通常</v>
          </cell>
          <cell r="I41">
            <v>0</v>
          </cell>
          <cell r="J41" t="str">
            <v>B4</v>
          </cell>
          <cell r="K41">
            <v>16</v>
          </cell>
          <cell r="L41">
            <v>3</v>
          </cell>
          <cell r="M41" t="str">
            <v>秋</v>
          </cell>
          <cell r="N41">
            <v>40035</v>
          </cell>
          <cell r="O41">
            <v>40145</v>
          </cell>
          <cell r="P41">
            <v>111</v>
          </cell>
          <cell r="Q41" t="str">
            <v>35日前</v>
          </cell>
          <cell r="R41">
            <v>40000</v>
          </cell>
          <cell r="S41">
            <v>40149</v>
          </cell>
          <cell r="T41">
            <v>40017</v>
          </cell>
          <cell r="U41">
            <v>40180</v>
          </cell>
          <cell r="V41">
            <v>1000</v>
          </cell>
          <cell r="W41">
            <v>976</v>
          </cell>
          <cell r="X41">
            <v>25</v>
          </cell>
          <cell r="Y41">
            <v>1</v>
          </cell>
          <cell r="Z41" t="str">
            <v>無償</v>
          </cell>
          <cell r="AA41" t="str">
            <v>通常体系</v>
          </cell>
          <cell r="AB41" t="str">
            <v>×</v>
          </cell>
          <cell r="AE41" t="str">
            <v>35日前</v>
          </cell>
          <cell r="AF41">
            <v>40000</v>
          </cell>
          <cell r="AG41">
            <v>40149</v>
          </cell>
          <cell r="AH41">
            <v>40017</v>
          </cell>
          <cell r="AI41">
            <v>40180</v>
          </cell>
          <cell r="AJ41">
            <v>1000</v>
          </cell>
          <cell r="AK41">
            <v>976</v>
          </cell>
          <cell r="AL41">
            <v>25</v>
          </cell>
          <cell r="AM41">
            <v>1</v>
          </cell>
          <cell r="AN41" t="str">
            <v>無償</v>
          </cell>
          <cell r="AO41" t="str">
            <v>通常体系</v>
          </cell>
          <cell r="AP41" t="str">
            <v>×</v>
          </cell>
        </row>
        <row r="42">
          <cell r="H42" t="str">
            <v>0：通常</v>
          </cell>
          <cell r="I42">
            <v>0</v>
          </cell>
          <cell r="J42" t="str">
            <v>B4</v>
          </cell>
          <cell r="K42">
            <v>16</v>
          </cell>
          <cell r="L42">
            <v>3</v>
          </cell>
          <cell r="M42" t="str">
            <v>秋</v>
          </cell>
          <cell r="N42">
            <v>40042</v>
          </cell>
          <cell r="O42">
            <v>40138</v>
          </cell>
          <cell r="P42">
            <v>97</v>
          </cell>
          <cell r="Q42" t="str">
            <v>35日前</v>
          </cell>
          <cell r="R42">
            <v>40007</v>
          </cell>
          <cell r="S42">
            <v>40142</v>
          </cell>
          <cell r="T42">
            <v>40024</v>
          </cell>
          <cell r="U42">
            <v>40173</v>
          </cell>
          <cell r="V42" t="str">
            <v>800→900</v>
          </cell>
          <cell r="W42">
            <v>900</v>
          </cell>
          <cell r="X42">
            <v>15</v>
          </cell>
          <cell r="Y42">
            <v>1</v>
          </cell>
          <cell r="Z42" t="str">
            <v>無償</v>
          </cell>
          <cell r="AA42" t="str">
            <v>通常体系</v>
          </cell>
          <cell r="AB42" t="str">
            <v>×</v>
          </cell>
          <cell r="AE42" t="str">
            <v>35日前</v>
          </cell>
          <cell r="AF42">
            <v>40007</v>
          </cell>
          <cell r="AG42">
            <v>40142</v>
          </cell>
          <cell r="AH42">
            <v>40024</v>
          </cell>
          <cell r="AI42">
            <v>40173</v>
          </cell>
          <cell r="AJ42" t="str">
            <v>800→900</v>
          </cell>
          <cell r="AK42">
            <v>900</v>
          </cell>
          <cell r="AL42">
            <v>15</v>
          </cell>
          <cell r="AM42">
            <v>1</v>
          </cell>
          <cell r="AN42" t="str">
            <v>無償</v>
          </cell>
          <cell r="AO42" t="str">
            <v>通常体系</v>
          </cell>
          <cell r="AP42" t="str">
            <v>×</v>
          </cell>
        </row>
        <row r="43">
          <cell r="H43" t="str">
            <v>3：増枠</v>
          </cell>
          <cell r="I43">
            <v>3</v>
          </cell>
          <cell r="J43" t="str">
            <v>A4</v>
          </cell>
          <cell r="K43">
            <v>159</v>
          </cell>
          <cell r="L43">
            <v>3</v>
          </cell>
          <cell r="M43" t="str">
            <v>秋</v>
          </cell>
          <cell r="N43">
            <v>40042</v>
          </cell>
          <cell r="O43">
            <v>40187</v>
          </cell>
          <cell r="P43">
            <v>146</v>
          </cell>
          <cell r="Q43" t="str">
            <v>35日前</v>
          </cell>
          <cell r="R43">
            <v>40007</v>
          </cell>
          <cell r="S43">
            <v>40191</v>
          </cell>
          <cell r="T43">
            <v>40024</v>
          </cell>
          <cell r="U43">
            <v>40222</v>
          </cell>
          <cell r="V43" t="str">
            <v>3500→3600</v>
          </cell>
          <cell r="W43">
            <v>3529</v>
          </cell>
          <cell r="X43">
            <v>1</v>
          </cell>
          <cell r="Y43">
            <v>1</v>
          </cell>
          <cell r="Z43" t="str">
            <v>無償</v>
          </cell>
          <cell r="AA43" t="str">
            <v>通常体系</v>
          </cell>
          <cell r="AB43" t="str">
            <v>○</v>
          </cell>
          <cell r="AE43" t="str">
            <v>35日前</v>
          </cell>
          <cell r="AF43">
            <v>40007</v>
          </cell>
          <cell r="AG43">
            <v>40191</v>
          </cell>
          <cell r="AH43">
            <v>40024</v>
          </cell>
          <cell r="AI43">
            <v>40222</v>
          </cell>
          <cell r="AJ43" t="str">
            <v>3500→3600</v>
          </cell>
          <cell r="AK43">
            <v>3529</v>
          </cell>
          <cell r="AL43">
            <v>1</v>
          </cell>
          <cell r="AM43">
            <v>1</v>
          </cell>
          <cell r="AN43" t="str">
            <v>無償</v>
          </cell>
          <cell r="AO43" t="str">
            <v>通常体系</v>
          </cell>
          <cell r="AP43" t="str">
            <v>○</v>
          </cell>
        </row>
        <row r="44">
          <cell r="H44" t="str">
            <v>3：増枠</v>
          </cell>
          <cell r="I44">
            <v>3</v>
          </cell>
          <cell r="J44" t="str">
            <v>A4変型版</v>
          </cell>
          <cell r="K44">
            <v>95</v>
          </cell>
          <cell r="L44">
            <v>3</v>
          </cell>
          <cell r="M44" t="str">
            <v>秋</v>
          </cell>
          <cell r="N44">
            <v>40042</v>
          </cell>
          <cell r="O44">
            <v>40124</v>
          </cell>
          <cell r="P44">
            <v>83</v>
          </cell>
          <cell r="Q44" t="str">
            <v>35日前</v>
          </cell>
          <cell r="R44">
            <v>40007</v>
          </cell>
          <cell r="S44">
            <v>40128</v>
          </cell>
          <cell r="T44">
            <v>40024</v>
          </cell>
          <cell r="U44">
            <v>40159</v>
          </cell>
          <cell r="V44" t="str">
            <v>3700→3800</v>
          </cell>
          <cell r="W44">
            <v>3760</v>
          </cell>
          <cell r="X44">
            <v>1</v>
          </cell>
          <cell r="Y44">
            <v>1</v>
          </cell>
          <cell r="Z44" t="str">
            <v>無償</v>
          </cell>
          <cell r="AA44" t="str">
            <v>通常体系</v>
          </cell>
          <cell r="AB44" t="str">
            <v>○</v>
          </cell>
          <cell r="AE44" t="str">
            <v>35日前</v>
          </cell>
          <cell r="AF44">
            <v>40007</v>
          </cell>
          <cell r="AG44">
            <v>40128</v>
          </cell>
          <cell r="AH44">
            <v>40024</v>
          </cell>
          <cell r="AI44">
            <v>40159</v>
          </cell>
          <cell r="AJ44" t="str">
            <v>3700→3800</v>
          </cell>
          <cell r="AK44">
            <v>3760</v>
          </cell>
          <cell r="AL44">
            <v>1</v>
          </cell>
          <cell r="AM44">
            <v>1</v>
          </cell>
          <cell r="AN44" t="str">
            <v>無償</v>
          </cell>
          <cell r="AO44" t="str">
            <v>通常体系</v>
          </cell>
          <cell r="AP44" t="str">
            <v>○</v>
          </cell>
        </row>
        <row r="45">
          <cell r="H45" t="str">
            <v>1：新枠</v>
          </cell>
          <cell r="I45">
            <v>1</v>
          </cell>
          <cell r="J45" t="str">
            <v>B4</v>
          </cell>
          <cell r="K45">
            <v>16</v>
          </cell>
          <cell r="L45">
            <v>3</v>
          </cell>
          <cell r="M45" t="str">
            <v>秋</v>
          </cell>
          <cell r="N45">
            <v>40042</v>
          </cell>
          <cell r="O45">
            <v>40110</v>
          </cell>
          <cell r="P45">
            <v>69</v>
          </cell>
          <cell r="Q45" t="str">
            <v>35日前</v>
          </cell>
          <cell r="R45">
            <v>40007</v>
          </cell>
          <cell r="S45">
            <v>40114</v>
          </cell>
          <cell r="T45">
            <v>40024</v>
          </cell>
          <cell r="U45">
            <v>40145</v>
          </cell>
          <cell r="V45" t="str">
            <v>100→200</v>
          </cell>
          <cell r="W45">
            <v>114</v>
          </cell>
          <cell r="X45">
            <v>2</v>
          </cell>
          <cell r="Y45">
            <v>1</v>
          </cell>
          <cell r="Z45" t="str">
            <v>無償</v>
          </cell>
          <cell r="AA45" t="str">
            <v>通常体系</v>
          </cell>
          <cell r="AB45" t="str">
            <v>×</v>
          </cell>
          <cell r="AE45" t="str">
            <v>35日前</v>
          </cell>
          <cell r="AF45">
            <v>40007</v>
          </cell>
          <cell r="AG45">
            <v>40114</v>
          </cell>
          <cell r="AH45">
            <v>40024</v>
          </cell>
          <cell r="AI45">
            <v>40145</v>
          </cell>
          <cell r="AJ45" t="str">
            <v>100→200</v>
          </cell>
          <cell r="AK45">
            <v>114</v>
          </cell>
          <cell r="AL45">
            <v>2</v>
          </cell>
          <cell r="AM45">
            <v>1</v>
          </cell>
          <cell r="AN45" t="str">
            <v>無償</v>
          </cell>
          <cell r="AO45" t="str">
            <v>通常体系</v>
          </cell>
          <cell r="AP45" t="str">
            <v>×</v>
          </cell>
        </row>
        <row r="46">
          <cell r="H46" t="str">
            <v>0：通常</v>
          </cell>
          <cell r="I46">
            <v>0</v>
          </cell>
          <cell r="J46" t="str">
            <v>B4</v>
          </cell>
          <cell r="K46">
            <v>16</v>
          </cell>
          <cell r="L46">
            <v>3</v>
          </cell>
          <cell r="M46" t="str">
            <v>秋</v>
          </cell>
          <cell r="N46">
            <v>40049</v>
          </cell>
          <cell r="O46">
            <v>40138</v>
          </cell>
          <cell r="P46">
            <v>90</v>
          </cell>
          <cell r="Q46" t="str">
            <v>35日前</v>
          </cell>
          <cell r="R46">
            <v>40014</v>
          </cell>
          <cell r="S46">
            <v>40142</v>
          </cell>
          <cell r="T46">
            <v>40031</v>
          </cell>
          <cell r="U46">
            <v>40173</v>
          </cell>
          <cell r="V46">
            <v>1400</v>
          </cell>
          <cell r="W46">
            <v>1398</v>
          </cell>
          <cell r="X46">
            <v>4</v>
          </cell>
          <cell r="Y46">
            <v>1</v>
          </cell>
          <cell r="Z46" t="str">
            <v>無償</v>
          </cell>
          <cell r="AA46" t="str">
            <v>通常体系</v>
          </cell>
          <cell r="AB46" t="str">
            <v>○</v>
          </cell>
          <cell r="AE46" t="str">
            <v>35日前</v>
          </cell>
          <cell r="AF46">
            <v>40014</v>
          </cell>
          <cell r="AG46">
            <v>40142</v>
          </cell>
          <cell r="AH46">
            <v>40031</v>
          </cell>
          <cell r="AI46">
            <v>40173</v>
          </cell>
          <cell r="AJ46">
            <v>1400</v>
          </cell>
          <cell r="AK46">
            <v>1398</v>
          </cell>
          <cell r="AL46">
            <v>4</v>
          </cell>
          <cell r="AM46">
            <v>1</v>
          </cell>
          <cell r="AN46" t="str">
            <v>無償</v>
          </cell>
          <cell r="AO46" t="str">
            <v>通常体系</v>
          </cell>
          <cell r="AP46" t="str">
            <v>○</v>
          </cell>
        </row>
        <row r="47">
          <cell r="H47" t="str">
            <v>1：新枠</v>
          </cell>
          <cell r="I47">
            <v>1</v>
          </cell>
          <cell r="J47" t="str">
            <v>B4</v>
          </cell>
          <cell r="K47">
            <v>16</v>
          </cell>
          <cell r="L47">
            <v>3</v>
          </cell>
          <cell r="M47" t="str">
            <v>秋</v>
          </cell>
          <cell r="N47">
            <v>40056</v>
          </cell>
          <cell r="O47">
            <v>40145</v>
          </cell>
          <cell r="P47">
            <v>90</v>
          </cell>
          <cell r="Q47" t="str">
            <v>35日前</v>
          </cell>
          <cell r="R47">
            <v>40021</v>
          </cell>
          <cell r="S47">
            <v>40149</v>
          </cell>
          <cell r="T47">
            <v>40038</v>
          </cell>
          <cell r="U47">
            <v>40180</v>
          </cell>
          <cell r="V47">
            <v>400</v>
          </cell>
          <cell r="W47">
            <v>330</v>
          </cell>
          <cell r="X47">
            <v>4</v>
          </cell>
          <cell r="Y47">
            <v>1</v>
          </cell>
          <cell r="Z47" t="str">
            <v>無償</v>
          </cell>
          <cell r="AA47" t="str">
            <v>通常体系</v>
          </cell>
          <cell r="AB47" t="str">
            <v>○</v>
          </cell>
          <cell r="AE47" t="str">
            <v>35日前</v>
          </cell>
          <cell r="AF47">
            <v>40021</v>
          </cell>
          <cell r="AG47">
            <v>40149</v>
          </cell>
          <cell r="AH47">
            <v>40038</v>
          </cell>
          <cell r="AI47">
            <v>40180</v>
          </cell>
          <cell r="AJ47">
            <v>400</v>
          </cell>
          <cell r="AK47">
            <v>330</v>
          </cell>
          <cell r="AL47">
            <v>4</v>
          </cell>
          <cell r="AM47">
            <v>1</v>
          </cell>
          <cell r="AN47" t="str">
            <v>無償</v>
          </cell>
          <cell r="AO47" t="str">
            <v>通常体系</v>
          </cell>
          <cell r="AP47" t="str">
            <v>○</v>
          </cell>
        </row>
        <row r="48">
          <cell r="H48" t="str">
            <v>1：新枠</v>
          </cell>
          <cell r="I48">
            <v>1</v>
          </cell>
          <cell r="J48" t="str">
            <v>A4変型版</v>
          </cell>
          <cell r="K48">
            <v>57</v>
          </cell>
          <cell r="L48">
            <v>3</v>
          </cell>
          <cell r="M48" t="str">
            <v>秋</v>
          </cell>
          <cell r="N48">
            <v>40056</v>
          </cell>
          <cell r="O48">
            <v>40166</v>
          </cell>
          <cell r="P48">
            <v>111</v>
          </cell>
          <cell r="Q48" t="str">
            <v>35日前</v>
          </cell>
          <cell r="R48">
            <v>40021</v>
          </cell>
          <cell r="S48">
            <v>40170</v>
          </cell>
          <cell r="T48">
            <v>40038</v>
          </cell>
          <cell r="U48">
            <v>40201</v>
          </cell>
          <cell r="V48">
            <v>800</v>
          </cell>
          <cell r="W48">
            <v>779</v>
          </cell>
          <cell r="X48">
            <v>98</v>
          </cell>
          <cell r="Y48">
            <v>1</v>
          </cell>
          <cell r="Z48" t="str">
            <v>無償</v>
          </cell>
          <cell r="AA48" t="str">
            <v>通常体系</v>
          </cell>
          <cell r="AB48" t="str">
            <v>×</v>
          </cell>
          <cell r="AE48" t="str">
            <v>35日前</v>
          </cell>
          <cell r="AF48">
            <v>40021</v>
          </cell>
          <cell r="AG48">
            <v>40170</v>
          </cell>
          <cell r="AH48">
            <v>40038</v>
          </cell>
          <cell r="AI48">
            <v>40201</v>
          </cell>
          <cell r="AJ48">
            <v>800</v>
          </cell>
          <cell r="AK48">
            <v>779</v>
          </cell>
          <cell r="AL48">
            <v>98</v>
          </cell>
          <cell r="AM48">
            <v>1</v>
          </cell>
          <cell r="AN48" t="str">
            <v>無償</v>
          </cell>
          <cell r="AO48" t="str">
            <v>通常体系</v>
          </cell>
          <cell r="AP48" t="str">
            <v>×</v>
          </cell>
        </row>
        <row r="49">
          <cell r="H49" t="str">
            <v>1：新枠</v>
          </cell>
          <cell r="I49">
            <v>1</v>
          </cell>
          <cell r="J49" t="str">
            <v>A4変型版</v>
          </cell>
          <cell r="K49">
            <v>6</v>
          </cell>
          <cell r="L49">
            <v>3</v>
          </cell>
          <cell r="M49" t="str">
            <v>秋</v>
          </cell>
          <cell r="N49">
            <v>40056</v>
          </cell>
          <cell r="O49">
            <v>40418</v>
          </cell>
          <cell r="P49">
            <v>363</v>
          </cell>
          <cell r="Q49" t="str">
            <v>35日前</v>
          </cell>
          <cell r="R49">
            <v>40021</v>
          </cell>
          <cell r="S49">
            <v>40422</v>
          </cell>
          <cell r="T49">
            <v>40038</v>
          </cell>
          <cell r="U49">
            <v>40453</v>
          </cell>
          <cell r="V49">
            <v>100</v>
          </cell>
          <cell r="W49">
            <v>43</v>
          </cell>
          <cell r="X49">
            <v>98</v>
          </cell>
          <cell r="Y49">
            <v>1</v>
          </cell>
          <cell r="Z49" t="str">
            <v>無償</v>
          </cell>
          <cell r="AA49" t="str">
            <v>通常体系</v>
          </cell>
          <cell r="AB49" t="str">
            <v>×</v>
          </cell>
          <cell r="AE49" t="str">
            <v>35日前</v>
          </cell>
          <cell r="AF49">
            <v>40021</v>
          </cell>
          <cell r="AG49">
            <v>40422</v>
          </cell>
          <cell r="AH49">
            <v>40038</v>
          </cell>
          <cell r="AI49">
            <v>40453</v>
          </cell>
          <cell r="AJ49">
            <v>100</v>
          </cell>
          <cell r="AK49">
            <v>43</v>
          </cell>
          <cell r="AL49">
            <v>98</v>
          </cell>
          <cell r="AM49">
            <v>1</v>
          </cell>
          <cell r="AN49" t="str">
            <v>無償</v>
          </cell>
          <cell r="AO49" t="str">
            <v>通常体系</v>
          </cell>
          <cell r="AP49" t="str">
            <v>×</v>
          </cell>
        </row>
        <row r="50">
          <cell r="H50" t="str">
            <v>0：通常</v>
          </cell>
          <cell r="I50">
            <v>0</v>
          </cell>
          <cell r="J50" t="str">
            <v>B4</v>
          </cell>
          <cell r="K50">
            <v>16</v>
          </cell>
          <cell r="L50">
            <v>3</v>
          </cell>
          <cell r="M50" t="str">
            <v>秋</v>
          </cell>
          <cell r="N50">
            <v>40056</v>
          </cell>
          <cell r="O50">
            <v>40159</v>
          </cell>
          <cell r="P50">
            <v>104</v>
          </cell>
          <cell r="Q50" t="str">
            <v>35日前</v>
          </cell>
          <cell r="R50">
            <v>40021</v>
          </cell>
          <cell r="S50">
            <v>40163</v>
          </cell>
          <cell r="T50">
            <v>40038</v>
          </cell>
          <cell r="U50">
            <v>40194</v>
          </cell>
          <cell r="V50">
            <v>1300</v>
          </cell>
          <cell r="W50">
            <v>1223</v>
          </cell>
          <cell r="X50">
            <v>14</v>
          </cell>
          <cell r="Y50">
            <v>1</v>
          </cell>
          <cell r="Z50" t="str">
            <v>無償</v>
          </cell>
          <cell r="AA50" t="str">
            <v>通常体系</v>
          </cell>
          <cell r="AB50" t="str">
            <v>×</v>
          </cell>
          <cell r="AE50" t="str">
            <v>35日前</v>
          </cell>
          <cell r="AF50">
            <v>40021</v>
          </cell>
          <cell r="AG50">
            <v>40163</v>
          </cell>
          <cell r="AH50">
            <v>40038</v>
          </cell>
          <cell r="AI50">
            <v>40194</v>
          </cell>
          <cell r="AJ50">
            <v>1300</v>
          </cell>
          <cell r="AK50">
            <v>1223</v>
          </cell>
          <cell r="AL50">
            <v>14</v>
          </cell>
          <cell r="AM50">
            <v>1</v>
          </cell>
          <cell r="AN50" t="str">
            <v>無償</v>
          </cell>
          <cell r="AO50" t="str">
            <v>通常体系</v>
          </cell>
          <cell r="AP50" t="str">
            <v>×</v>
          </cell>
        </row>
        <row r="51">
          <cell r="H51" t="str">
            <v>1：新枠</v>
          </cell>
          <cell r="I51">
            <v>1</v>
          </cell>
          <cell r="J51" t="str">
            <v>B4</v>
          </cell>
          <cell r="K51">
            <v>16</v>
          </cell>
          <cell r="L51">
            <v>3</v>
          </cell>
          <cell r="M51" t="str">
            <v>秋</v>
          </cell>
          <cell r="N51">
            <v>40070</v>
          </cell>
          <cell r="O51">
            <v>40159</v>
          </cell>
          <cell r="P51">
            <v>90</v>
          </cell>
          <cell r="Q51" t="str">
            <v>35日前</v>
          </cell>
          <cell r="R51">
            <v>40035</v>
          </cell>
          <cell r="S51">
            <v>40163</v>
          </cell>
          <cell r="T51">
            <v>40052</v>
          </cell>
          <cell r="U51">
            <v>40194</v>
          </cell>
          <cell r="V51" t="str">
            <v>800→900</v>
          </cell>
          <cell r="W51">
            <v>824</v>
          </cell>
          <cell r="X51">
            <v>2</v>
          </cell>
          <cell r="Y51">
            <v>1</v>
          </cell>
          <cell r="Z51" t="str">
            <v>無償</v>
          </cell>
          <cell r="AA51" t="str">
            <v>通常体系</v>
          </cell>
          <cell r="AB51" t="str">
            <v>×</v>
          </cell>
          <cell r="AE51" t="str">
            <v>35日前</v>
          </cell>
          <cell r="AF51">
            <v>40035</v>
          </cell>
          <cell r="AG51">
            <v>40163</v>
          </cell>
          <cell r="AH51">
            <v>40052</v>
          </cell>
          <cell r="AI51">
            <v>40194</v>
          </cell>
          <cell r="AJ51" t="str">
            <v>800→900</v>
          </cell>
          <cell r="AK51">
            <v>824</v>
          </cell>
          <cell r="AL51">
            <v>2</v>
          </cell>
          <cell r="AM51">
            <v>1</v>
          </cell>
          <cell r="AN51" t="str">
            <v>無償</v>
          </cell>
          <cell r="AO51" t="str">
            <v>通常体系</v>
          </cell>
          <cell r="AP51" t="str">
            <v>×</v>
          </cell>
        </row>
        <row r="52">
          <cell r="H52" t="str">
            <v>1：新枠</v>
          </cell>
          <cell r="I52">
            <v>1</v>
          </cell>
          <cell r="J52" t="str">
            <v>B4</v>
          </cell>
          <cell r="K52">
            <v>16</v>
          </cell>
          <cell r="L52">
            <v>3</v>
          </cell>
          <cell r="M52" t="str">
            <v>秋</v>
          </cell>
          <cell r="N52">
            <v>40063</v>
          </cell>
          <cell r="O52">
            <v>40152</v>
          </cell>
          <cell r="P52">
            <v>90</v>
          </cell>
          <cell r="Q52" t="str">
            <v>35日前</v>
          </cell>
          <cell r="R52">
            <v>40028</v>
          </cell>
          <cell r="S52">
            <v>40156</v>
          </cell>
          <cell r="T52">
            <v>40045</v>
          </cell>
          <cell r="U52">
            <v>40187</v>
          </cell>
          <cell r="V52">
            <v>1000</v>
          </cell>
          <cell r="W52">
            <v>936</v>
          </cell>
          <cell r="X52">
            <v>4</v>
          </cell>
          <cell r="Y52">
            <v>1</v>
          </cell>
          <cell r="Z52" t="str">
            <v>無償</v>
          </cell>
          <cell r="AA52" t="str">
            <v>通常体系</v>
          </cell>
          <cell r="AB52" t="str">
            <v>○</v>
          </cell>
          <cell r="AE52" t="str">
            <v>35日前</v>
          </cell>
          <cell r="AF52">
            <v>40028</v>
          </cell>
          <cell r="AG52">
            <v>40156</v>
          </cell>
          <cell r="AH52">
            <v>40045</v>
          </cell>
          <cell r="AI52">
            <v>40187</v>
          </cell>
          <cell r="AJ52">
            <v>1000</v>
          </cell>
          <cell r="AK52">
            <v>936</v>
          </cell>
          <cell r="AL52">
            <v>4</v>
          </cell>
          <cell r="AM52">
            <v>1</v>
          </cell>
          <cell r="AN52" t="str">
            <v>無償</v>
          </cell>
          <cell r="AO52" t="str">
            <v>通常体系</v>
          </cell>
          <cell r="AP52" t="str">
            <v>○</v>
          </cell>
        </row>
        <row r="53">
          <cell r="H53" t="str">
            <v>0：通常</v>
          </cell>
          <cell r="I53">
            <v>0</v>
          </cell>
          <cell r="J53" t="str">
            <v>B4</v>
          </cell>
          <cell r="K53">
            <v>24</v>
          </cell>
          <cell r="L53">
            <v>4</v>
          </cell>
          <cell r="M53" t="str">
            <v>冬</v>
          </cell>
          <cell r="N53">
            <v>40077</v>
          </cell>
          <cell r="O53">
            <v>40166</v>
          </cell>
          <cell r="P53">
            <v>90</v>
          </cell>
          <cell r="Q53" t="str">
            <v>35日前</v>
          </cell>
          <cell r="R53">
            <v>40042</v>
          </cell>
          <cell r="S53">
            <v>40170</v>
          </cell>
          <cell r="T53">
            <v>40059</v>
          </cell>
          <cell r="U53">
            <v>40201</v>
          </cell>
          <cell r="V53" t="str">
            <v>1200→1300</v>
          </cell>
          <cell r="W53">
            <v>1271</v>
          </cell>
          <cell r="X53">
            <v>15</v>
          </cell>
          <cell r="Y53">
            <v>1</v>
          </cell>
          <cell r="Z53" t="str">
            <v>無償</v>
          </cell>
          <cell r="AA53" t="str">
            <v>通常体系</v>
          </cell>
          <cell r="AB53" t="str">
            <v>×</v>
          </cell>
          <cell r="AE53" t="str">
            <v>35日前</v>
          </cell>
          <cell r="AF53">
            <v>40042</v>
          </cell>
          <cell r="AG53">
            <v>40170</v>
          </cell>
          <cell r="AH53">
            <v>40059</v>
          </cell>
          <cell r="AI53">
            <v>40201</v>
          </cell>
          <cell r="AJ53" t="str">
            <v>1200→1300</v>
          </cell>
          <cell r="AK53">
            <v>1271</v>
          </cell>
          <cell r="AL53">
            <v>15</v>
          </cell>
          <cell r="AM53">
            <v>1</v>
          </cell>
          <cell r="AN53" t="str">
            <v>無償</v>
          </cell>
          <cell r="AO53" t="str">
            <v>通常体系</v>
          </cell>
          <cell r="AP53" t="str">
            <v>×</v>
          </cell>
        </row>
        <row r="54">
          <cell r="H54" t="str">
            <v>1：新枠</v>
          </cell>
          <cell r="I54">
            <v>1</v>
          </cell>
          <cell r="J54" t="str">
            <v>B4</v>
          </cell>
          <cell r="K54">
            <v>8</v>
          </cell>
          <cell r="L54">
            <v>4</v>
          </cell>
          <cell r="M54" t="str">
            <v>冬</v>
          </cell>
          <cell r="N54">
            <v>40077</v>
          </cell>
          <cell r="O54">
            <v>40327</v>
          </cell>
          <cell r="P54">
            <v>251</v>
          </cell>
          <cell r="Q54" t="str">
            <v>35日前</v>
          </cell>
          <cell r="R54">
            <v>40042</v>
          </cell>
          <cell r="S54">
            <v>40331</v>
          </cell>
          <cell r="T54">
            <v>40059</v>
          </cell>
          <cell r="U54">
            <v>40362</v>
          </cell>
          <cell r="V54">
            <v>300</v>
          </cell>
          <cell r="W54">
            <v>261</v>
          </cell>
          <cell r="X54">
            <v>99</v>
          </cell>
          <cell r="Y54">
            <v>1</v>
          </cell>
          <cell r="Z54" t="str">
            <v>無償</v>
          </cell>
          <cell r="AA54" t="str">
            <v>通常体系</v>
          </cell>
          <cell r="AB54" t="str">
            <v>○</v>
          </cell>
          <cell r="AE54" t="str">
            <v>35日前</v>
          </cell>
          <cell r="AF54">
            <v>40042</v>
          </cell>
          <cell r="AG54">
            <v>40331</v>
          </cell>
          <cell r="AH54">
            <v>40059</v>
          </cell>
          <cell r="AI54">
            <v>40362</v>
          </cell>
          <cell r="AJ54">
            <v>300</v>
          </cell>
          <cell r="AK54">
            <v>261</v>
          </cell>
          <cell r="AL54">
            <v>99</v>
          </cell>
          <cell r="AM54">
            <v>1</v>
          </cell>
          <cell r="AN54" t="str">
            <v>無償</v>
          </cell>
          <cell r="AO54" t="str">
            <v>通常体系</v>
          </cell>
          <cell r="AP54" t="str">
            <v>○</v>
          </cell>
        </row>
        <row r="55">
          <cell r="H55" t="str">
            <v>3：増枠</v>
          </cell>
          <cell r="I55">
            <v>3</v>
          </cell>
          <cell r="J55" t="str">
            <v>A4</v>
          </cell>
          <cell r="K55">
            <v>207</v>
          </cell>
          <cell r="L55">
            <v>4</v>
          </cell>
          <cell r="M55" t="str">
            <v>冬</v>
          </cell>
          <cell r="N55">
            <v>40077</v>
          </cell>
          <cell r="O55">
            <v>40243</v>
          </cell>
          <cell r="P55">
            <v>167</v>
          </cell>
          <cell r="Q55" t="str">
            <v>35日前</v>
          </cell>
          <cell r="R55">
            <v>40042</v>
          </cell>
          <cell r="S55">
            <v>40247</v>
          </cell>
          <cell r="T55">
            <v>40059</v>
          </cell>
          <cell r="U55">
            <v>40278</v>
          </cell>
          <cell r="V55" t="str">
            <v>4200→4400</v>
          </cell>
          <cell r="W55">
            <v>4368</v>
          </cell>
          <cell r="X55">
            <v>1</v>
          </cell>
          <cell r="Y55">
            <v>1</v>
          </cell>
          <cell r="Z55" t="str">
            <v>無償</v>
          </cell>
          <cell r="AA55" t="str">
            <v>通常体系</v>
          </cell>
          <cell r="AB55" t="str">
            <v>○</v>
          </cell>
          <cell r="AE55" t="str">
            <v>35日前</v>
          </cell>
          <cell r="AF55">
            <v>40042</v>
          </cell>
          <cell r="AG55">
            <v>40247</v>
          </cell>
          <cell r="AH55">
            <v>40059</v>
          </cell>
          <cell r="AI55">
            <v>40278</v>
          </cell>
          <cell r="AJ55" t="str">
            <v>4200→4400</v>
          </cell>
          <cell r="AK55">
            <v>4368</v>
          </cell>
          <cell r="AL55">
            <v>1</v>
          </cell>
          <cell r="AM55">
            <v>1</v>
          </cell>
          <cell r="AN55" t="str">
            <v>無償</v>
          </cell>
          <cell r="AO55" t="str">
            <v>通常体系</v>
          </cell>
          <cell r="AP55" t="str">
            <v>○</v>
          </cell>
        </row>
        <row r="56">
          <cell r="H56" t="str">
            <v>0：通常</v>
          </cell>
          <cell r="I56">
            <v>0</v>
          </cell>
          <cell r="J56" t="str">
            <v>B4</v>
          </cell>
          <cell r="K56">
            <v>24</v>
          </cell>
          <cell r="L56">
            <v>4</v>
          </cell>
          <cell r="M56" t="str">
            <v>冬</v>
          </cell>
          <cell r="N56">
            <v>40077</v>
          </cell>
          <cell r="O56">
            <v>40173</v>
          </cell>
          <cell r="P56">
            <v>97</v>
          </cell>
          <cell r="Q56" t="str">
            <v>35日前</v>
          </cell>
          <cell r="R56">
            <v>40042</v>
          </cell>
          <cell r="S56">
            <v>40177</v>
          </cell>
          <cell r="T56">
            <v>40059</v>
          </cell>
          <cell r="U56">
            <v>40208</v>
          </cell>
          <cell r="V56">
            <v>900</v>
          </cell>
          <cell r="W56">
            <v>816</v>
          </cell>
          <cell r="X56">
            <v>2</v>
          </cell>
          <cell r="Y56">
            <v>1</v>
          </cell>
          <cell r="Z56" t="str">
            <v>無償</v>
          </cell>
          <cell r="AA56" t="str">
            <v>通常体系</v>
          </cell>
          <cell r="AB56" t="str">
            <v>×</v>
          </cell>
          <cell r="AE56" t="str">
            <v>35日前</v>
          </cell>
          <cell r="AF56">
            <v>40042</v>
          </cell>
          <cell r="AG56">
            <v>40177</v>
          </cell>
          <cell r="AH56">
            <v>40059</v>
          </cell>
          <cell r="AI56">
            <v>40208</v>
          </cell>
          <cell r="AJ56">
            <v>900</v>
          </cell>
          <cell r="AK56">
            <v>816</v>
          </cell>
          <cell r="AL56">
            <v>2</v>
          </cell>
          <cell r="AM56">
            <v>1</v>
          </cell>
          <cell r="AN56" t="str">
            <v>無償</v>
          </cell>
          <cell r="AO56" t="str">
            <v>通常体系</v>
          </cell>
          <cell r="AP56" t="str">
            <v>×</v>
          </cell>
        </row>
        <row r="57">
          <cell r="H57" t="str">
            <v>3：増枠</v>
          </cell>
          <cell r="I57">
            <v>3</v>
          </cell>
          <cell r="J57" t="str">
            <v>A4変型版</v>
          </cell>
          <cell r="K57">
            <v>119</v>
          </cell>
          <cell r="L57">
            <v>4</v>
          </cell>
          <cell r="M57" t="str">
            <v>冬</v>
          </cell>
          <cell r="N57">
            <v>40084</v>
          </cell>
          <cell r="O57">
            <v>40187</v>
          </cell>
          <cell r="P57">
            <v>104</v>
          </cell>
          <cell r="Q57" t="str">
            <v>35日前</v>
          </cell>
          <cell r="R57">
            <v>40049</v>
          </cell>
          <cell r="S57">
            <v>40191</v>
          </cell>
          <cell r="T57">
            <v>40066</v>
          </cell>
          <cell r="U57">
            <v>40222</v>
          </cell>
          <cell r="V57" t="str">
            <v>4200→4700</v>
          </cell>
          <cell r="W57">
            <v>4679</v>
          </cell>
          <cell r="X57">
            <v>1</v>
          </cell>
          <cell r="Y57">
            <v>1</v>
          </cell>
          <cell r="Z57" t="str">
            <v>無償</v>
          </cell>
          <cell r="AA57" t="str">
            <v>通常体系</v>
          </cell>
          <cell r="AB57" t="str">
            <v>○</v>
          </cell>
          <cell r="AE57" t="str">
            <v>35日前</v>
          </cell>
          <cell r="AF57">
            <v>40049</v>
          </cell>
          <cell r="AG57">
            <v>40191</v>
          </cell>
          <cell r="AH57">
            <v>40066</v>
          </cell>
          <cell r="AI57">
            <v>40222</v>
          </cell>
          <cell r="AJ57" t="str">
            <v>4200→4700</v>
          </cell>
          <cell r="AK57">
            <v>4679</v>
          </cell>
          <cell r="AL57">
            <v>1</v>
          </cell>
          <cell r="AM57">
            <v>1</v>
          </cell>
          <cell r="AN57" t="str">
            <v>無償</v>
          </cell>
          <cell r="AO57" t="str">
            <v>通常体系</v>
          </cell>
          <cell r="AP57" t="str">
            <v>○</v>
          </cell>
        </row>
        <row r="58">
          <cell r="H58" t="str">
            <v>0：通常</v>
          </cell>
          <cell r="I58">
            <v>0</v>
          </cell>
          <cell r="J58" t="str">
            <v>B4</v>
          </cell>
          <cell r="K58">
            <v>24</v>
          </cell>
          <cell r="L58">
            <v>4</v>
          </cell>
          <cell r="M58" t="str">
            <v>冬</v>
          </cell>
          <cell r="N58">
            <v>40084</v>
          </cell>
          <cell r="O58">
            <v>40187</v>
          </cell>
          <cell r="P58">
            <v>104</v>
          </cell>
          <cell r="Q58" t="str">
            <v>35日前</v>
          </cell>
          <cell r="R58">
            <v>40049</v>
          </cell>
          <cell r="S58">
            <v>40191</v>
          </cell>
          <cell r="T58">
            <v>40066</v>
          </cell>
          <cell r="U58">
            <v>40222</v>
          </cell>
          <cell r="V58">
            <v>1700</v>
          </cell>
          <cell r="W58">
            <v>1666</v>
          </cell>
          <cell r="X58">
            <v>4</v>
          </cell>
          <cell r="Y58">
            <v>1</v>
          </cell>
          <cell r="Z58" t="str">
            <v>無償</v>
          </cell>
          <cell r="AA58" t="str">
            <v>通常体系</v>
          </cell>
          <cell r="AB58" t="str">
            <v>○</v>
          </cell>
          <cell r="AE58" t="str">
            <v>35日前</v>
          </cell>
          <cell r="AF58">
            <v>40049</v>
          </cell>
          <cell r="AG58">
            <v>40191</v>
          </cell>
          <cell r="AH58">
            <v>40066</v>
          </cell>
          <cell r="AI58">
            <v>40222</v>
          </cell>
          <cell r="AJ58">
            <v>1700</v>
          </cell>
          <cell r="AK58">
            <v>1666</v>
          </cell>
          <cell r="AL58">
            <v>4</v>
          </cell>
          <cell r="AM58">
            <v>1</v>
          </cell>
          <cell r="AN58" t="str">
            <v>無償</v>
          </cell>
          <cell r="AO58" t="str">
            <v>通常体系</v>
          </cell>
          <cell r="AP58" t="str">
            <v>○</v>
          </cell>
        </row>
        <row r="59">
          <cell r="H59" t="str">
            <v>1：新枠</v>
          </cell>
          <cell r="I59">
            <v>1</v>
          </cell>
          <cell r="J59" t="str">
            <v>A4</v>
          </cell>
          <cell r="K59">
            <v>63</v>
          </cell>
          <cell r="L59">
            <v>4</v>
          </cell>
          <cell r="M59" t="str">
            <v>冬</v>
          </cell>
          <cell r="N59">
            <v>40084</v>
          </cell>
          <cell r="O59">
            <v>40201</v>
          </cell>
          <cell r="P59">
            <v>118</v>
          </cell>
          <cell r="Q59" t="str">
            <v>35日前</v>
          </cell>
          <cell r="R59">
            <v>40049</v>
          </cell>
          <cell r="S59">
            <v>40205</v>
          </cell>
          <cell r="T59">
            <v>40066</v>
          </cell>
          <cell r="U59">
            <v>40236</v>
          </cell>
          <cell r="V59">
            <v>1800</v>
          </cell>
          <cell r="W59">
            <v>1296</v>
          </cell>
          <cell r="X59">
            <v>1</v>
          </cell>
          <cell r="Y59">
            <v>1</v>
          </cell>
          <cell r="Z59" t="str">
            <v>無償</v>
          </cell>
          <cell r="AA59" t="str">
            <v>通常体系</v>
          </cell>
          <cell r="AB59" t="str">
            <v>○</v>
          </cell>
          <cell r="AE59" t="str">
            <v>35日前</v>
          </cell>
          <cell r="AF59">
            <v>40049</v>
          </cell>
          <cell r="AG59">
            <v>40205</v>
          </cell>
          <cell r="AH59">
            <v>40066</v>
          </cell>
          <cell r="AI59">
            <v>40236</v>
          </cell>
          <cell r="AJ59">
            <v>1800</v>
          </cell>
          <cell r="AK59">
            <v>1296</v>
          </cell>
          <cell r="AL59">
            <v>1</v>
          </cell>
          <cell r="AM59">
            <v>1</v>
          </cell>
          <cell r="AN59" t="str">
            <v>無償</v>
          </cell>
          <cell r="AO59" t="str">
            <v>通常体系</v>
          </cell>
          <cell r="AP59" t="str">
            <v>○</v>
          </cell>
        </row>
        <row r="60">
          <cell r="H60" t="str">
            <v>1：新枠</v>
          </cell>
          <cell r="I60">
            <v>1</v>
          </cell>
          <cell r="J60" t="str">
            <v>B4</v>
          </cell>
          <cell r="K60">
            <v>16</v>
          </cell>
          <cell r="L60">
            <v>4</v>
          </cell>
          <cell r="M60" t="str">
            <v>冬</v>
          </cell>
          <cell r="N60">
            <v>40084</v>
          </cell>
          <cell r="O60">
            <v>40166</v>
          </cell>
          <cell r="P60">
            <v>83</v>
          </cell>
          <cell r="Q60" t="str">
            <v>35日前</v>
          </cell>
          <cell r="R60">
            <v>40049</v>
          </cell>
          <cell r="S60">
            <v>40170</v>
          </cell>
          <cell r="T60">
            <v>40066</v>
          </cell>
          <cell r="U60">
            <v>40201</v>
          </cell>
          <cell r="V60">
            <v>700</v>
          </cell>
          <cell r="W60">
            <v>544</v>
          </cell>
          <cell r="X60">
            <v>4</v>
          </cell>
          <cell r="Y60">
            <v>1</v>
          </cell>
          <cell r="Z60" t="str">
            <v>無償</v>
          </cell>
          <cell r="AA60" t="str">
            <v>通常体系</v>
          </cell>
          <cell r="AB60" t="str">
            <v>○</v>
          </cell>
          <cell r="AE60" t="str">
            <v>35日前</v>
          </cell>
          <cell r="AF60">
            <v>40049</v>
          </cell>
          <cell r="AG60">
            <v>40170</v>
          </cell>
          <cell r="AH60">
            <v>40066</v>
          </cell>
          <cell r="AI60">
            <v>40201</v>
          </cell>
          <cell r="AJ60">
            <v>700</v>
          </cell>
          <cell r="AK60">
            <v>544</v>
          </cell>
          <cell r="AL60">
            <v>4</v>
          </cell>
          <cell r="AM60">
            <v>1</v>
          </cell>
          <cell r="AN60" t="str">
            <v>無償</v>
          </cell>
          <cell r="AO60" t="str">
            <v>通常体系</v>
          </cell>
          <cell r="AP60" t="str">
            <v>○</v>
          </cell>
        </row>
        <row r="61">
          <cell r="H61" t="str">
            <v>1：新枠</v>
          </cell>
          <cell r="I61">
            <v>1</v>
          </cell>
          <cell r="J61" t="str">
            <v>B4</v>
          </cell>
          <cell r="K61">
            <v>16</v>
          </cell>
          <cell r="L61">
            <v>4</v>
          </cell>
          <cell r="M61" t="str">
            <v>冬</v>
          </cell>
          <cell r="N61">
            <v>40084</v>
          </cell>
          <cell r="O61">
            <v>40159</v>
          </cell>
          <cell r="P61">
            <v>76</v>
          </cell>
          <cell r="Q61" t="str">
            <v>35日前</v>
          </cell>
          <cell r="R61">
            <v>40049</v>
          </cell>
          <cell r="S61">
            <v>40163</v>
          </cell>
          <cell r="T61">
            <v>40066</v>
          </cell>
          <cell r="U61">
            <v>40194</v>
          </cell>
          <cell r="V61">
            <v>500</v>
          </cell>
          <cell r="W61">
            <v>247</v>
          </cell>
          <cell r="X61">
            <v>23</v>
          </cell>
          <cell r="Y61">
            <v>1</v>
          </cell>
          <cell r="Z61" t="str">
            <v>無償</v>
          </cell>
          <cell r="AA61" t="str">
            <v>通常体系</v>
          </cell>
          <cell r="AB61" t="str">
            <v>×</v>
          </cell>
          <cell r="AE61" t="str">
            <v>35日前</v>
          </cell>
          <cell r="AF61">
            <v>40049</v>
          </cell>
          <cell r="AG61">
            <v>40163</v>
          </cell>
          <cell r="AH61">
            <v>40066</v>
          </cell>
          <cell r="AI61">
            <v>40194</v>
          </cell>
          <cell r="AJ61">
            <v>500</v>
          </cell>
          <cell r="AK61">
            <v>247</v>
          </cell>
          <cell r="AL61">
            <v>23</v>
          </cell>
          <cell r="AM61">
            <v>1</v>
          </cell>
          <cell r="AN61" t="str">
            <v>無償</v>
          </cell>
          <cell r="AO61" t="str">
            <v>通常体系</v>
          </cell>
          <cell r="AP61" t="str">
            <v>×</v>
          </cell>
        </row>
        <row r="62">
          <cell r="H62" t="str">
            <v>1：新枠</v>
          </cell>
          <cell r="I62">
            <v>1</v>
          </cell>
          <cell r="J62" t="str">
            <v>B4</v>
          </cell>
          <cell r="K62">
            <v>16</v>
          </cell>
          <cell r="L62">
            <v>4</v>
          </cell>
          <cell r="M62" t="str">
            <v>冬</v>
          </cell>
          <cell r="N62">
            <v>40091</v>
          </cell>
          <cell r="O62">
            <v>40187</v>
          </cell>
          <cell r="P62">
            <v>97</v>
          </cell>
          <cell r="Q62" t="str">
            <v>35日前</v>
          </cell>
          <cell r="R62">
            <v>40056</v>
          </cell>
          <cell r="S62">
            <v>40191</v>
          </cell>
          <cell r="T62">
            <v>40073</v>
          </cell>
          <cell r="U62">
            <v>40222</v>
          </cell>
          <cell r="V62">
            <v>500</v>
          </cell>
          <cell r="X62">
            <v>4</v>
          </cell>
          <cell r="Y62">
            <v>1</v>
          </cell>
          <cell r="Z62" t="str">
            <v>無償</v>
          </cell>
          <cell r="AA62" t="str">
            <v>通常体系</v>
          </cell>
          <cell r="AB62" t="str">
            <v>○</v>
          </cell>
          <cell r="AE62" t="str">
            <v>35日前</v>
          </cell>
          <cell r="AF62">
            <v>40056</v>
          </cell>
          <cell r="AG62">
            <v>40191</v>
          </cell>
          <cell r="AH62">
            <v>40073</v>
          </cell>
          <cell r="AI62">
            <v>40222</v>
          </cell>
          <cell r="AJ62">
            <v>500</v>
          </cell>
          <cell r="AL62">
            <v>4</v>
          </cell>
          <cell r="AM62">
            <v>1</v>
          </cell>
          <cell r="AN62" t="str">
            <v>無償</v>
          </cell>
          <cell r="AO62" t="str">
            <v>通常体系</v>
          </cell>
          <cell r="AP62" t="str">
            <v>○</v>
          </cell>
        </row>
        <row r="63">
          <cell r="H63" t="str">
            <v>0：通常</v>
          </cell>
          <cell r="I63">
            <v>0</v>
          </cell>
          <cell r="J63" t="str">
            <v>B4</v>
          </cell>
          <cell r="K63">
            <v>24</v>
          </cell>
          <cell r="L63">
            <v>4</v>
          </cell>
          <cell r="M63" t="str">
            <v>冬</v>
          </cell>
          <cell r="N63">
            <v>40091</v>
          </cell>
          <cell r="O63">
            <v>40187</v>
          </cell>
          <cell r="P63">
            <v>97</v>
          </cell>
          <cell r="Q63" t="str">
            <v>35日前</v>
          </cell>
          <cell r="R63">
            <v>40056</v>
          </cell>
          <cell r="S63">
            <v>40191</v>
          </cell>
          <cell r="T63">
            <v>40073</v>
          </cell>
          <cell r="U63">
            <v>40222</v>
          </cell>
          <cell r="V63">
            <v>2000</v>
          </cell>
          <cell r="W63">
            <v>1733</v>
          </cell>
          <cell r="X63">
            <v>14</v>
          </cell>
          <cell r="Y63">
            <v>1</v>
          </cell>
          <cell r="Z63" t="str">
            <v>無償</v>
          </cell>
          <cell r="AA63" t="str">
            <v>通常体系</v>
          </cell>
          <cell r="AB63" t="str">
            <v>×</v>
          </cell>
          <cell r="AE63" t="str">
            <v>35日前</v>
          </cell>
          <cell r="AF63">
            <v>40056</v>
          </cell>
          <cell r="AG63">
            <v>40191</v>
          </cell>
          <cell r="AH63">
            <v>40073</v>
          </cell>
          <cell r="AI63">
            <v>40222</v>
          </cell>
          <cell r="AJ63">
            <v>2000</v>
          </cell>
          <cell r="AK63">
            <v>1733</v>
          </cell>
          <cell r="AL63">
            <v>14</v>
          </cell>
          <cell r="AM63">
            <v>1</v>
          </cell>
          <cell r="AN63" t="str">
            <v>無償</v>
          </cell>
          <cell r="AO63" t="str">
            <v>通常体系</v>
          </cell>
          <cell r="AP63" t="str">
            <v>×</v>
          </cell>
        </row>
        <row r="64">
          <cell r="H64" t="str">
            <v>0：通常</v>
          </cell>
          <cell r="I64">
            <v>0</v>
          </cell>
          <cell r="J64" t="str">
            <v>B4</v>
          </cell>
          <cell r="K64">
            <v>16</v>
          </cell>
          <cell r="L64">
            <v>4</v>
          </cell>
          <cell r="M64" t="str">
            <v>冬</v>
          </cell>
          <cell r="N64">
            <v>40098</v>
          </cell>
          <cell r="O64">
            <v>40201</v>
          </cell>
          <cell r="P64">
            <v>104</v>
          </cell>
          <cell r="Q64" t="str">
            <v>35日前</v>
          </cell>
          <cell r="R64">
            <v>40063</v>
          </cell>
          <cell r="S64">
            <v>40205</v>
          </cell>
          <cell r="T64">
            <v>40080</v>
          </cell>
          <cell r="U64">
            <v>40236</v>
          </cell>
          <cell r="V64">
            <v>900</v>
          </cell>
          <cell r="W64">
            <v>498</v>
          </cell>
          <cell r="X64">
            <v>2</v>
          </cell>
          <cell r="Y64">
            <v>1</v>
          </cell>
          <cell r="Z64" t="str">
            <v>無償</v>
          </cell>
          <cell r="AA64" t="str">
            <v>通常体系</v>
          </cell>
          <cell r="AB64" t="str">
            <v>×</v>
          </cell>
          <cell r="AE64" t="str">
            <v>35日前</v>
          </cell>
          <cell r="AF64">
            <v>40063</v>
          </cell>
          <cell r="AG64">
            <v>40205</v>
          </cell>
          <cell r="AH64">
            <v>40080</v>
          </cell>
          <cell r="AI64">
            <v>40236</v>
          </cell>
          <cell r="AJ64">
            <v>900</v>
          </cell>
          <cell r="AK64">
            <v>498</v>
          </cell>
          <cell r="AL64">
            <v>2</v>
          </cell>
          <cell r="AM64">
            <v>1</v>
          </cell>
          <cell r="AN64" t="str">
            <v>無償</v>
          </cell>
          <cell r="AO64" t="str">
            <v>通常体系</v>
          </cell>
          <cell r="AP64" t="str">
            <v>×</v>
          </cell>
        </row>
        <row r="65">
          <cell r="H65" t="str">
            <v>1：新枠</v>
          </cell>
          <cell r="I65">
            <v>1</v>
          </cell>
          <cell r="J65" t="str">
            <v>B4</v>
          </cell>
          <cell r="K65">
            <v>8</v>
          </cell>
          <cell r="L65">
            <v>4</v>
          </cell>
          <cell r="M65" t="str">
            <v>冬</v>
          </cell>
          <cell r="N65">
            <v>40098</v>
          </cell>
          <cell r="O65">
            <v>40208</v>
          </cell>
          <cell r="P65">
            <v>111</v>
          </cell>
          <cell r="Q65" t="str">
            <v>35日前</v>
          </cell>
          <cell r="R65">
            <v>40063</v>
          </cell>
          <cell r="S65">
            <v>40212</v>
          </cell>
          <cell r="T65">
            <v>40080</v>
          </cell>
          <cell r="U65">
            <v>40243</v>
          </cell>
          <cell r="V65">
            <v>400</v>
          </cell>
          <cell r="W65">
            <v>299</v>
          </cell>
          <cell r="X65">
            <v>19</v>
          </cell>
          <cell r="Y65">
            <v>1</v>
          </cell>
          <cell r="Z65" t="str">
            <v>無償</v>
          </cell>
          <cell r="AA65" t="str">
            <v>通常体系</v>
          </cell>
          <cell r="AB65" t="str">
            <v>×</v>
          </cell>
          <cell r="AE65" t="str">
            <v>35日前</v>
          </cell>
          <cell r="AF65">
            <v>40063</v>
          </cell>
          <cell r="AG65">
            <v>40212</v>
          </cell>
          <cell r="AH65">
            <v>40080</v>
          </cell>
          <cell r="AI65">
            <v>40243</v>
          </cell>
          <cell r="AJ65">
            <v>400</v>
          </cell>
          <cell r="AK65">
            <v>299</v>
          </cell>
          <cell r="AL65">
            <v>19</v>
          </cell>
          <cell r="AM65">
            <v>1</v>
          </cell>
          <cell r="AN65" t="str">
            <v>無償</v>
          </cell>
          <cell r="AO65" t="str">
            <v>通常体系</v>
          </cell>
          <cell r="AP65" t="str">
            <v>×</v>
          </cell>
        </row>
        <row r="66">
          <cell r="H66" t="str">
            <v>1：新枠</v>
          </cell>
          <cell r="I66">
            <v>1</v>
          </cell>
          <cell r="J66" t="str">
            <v>B4</v>
          </cell>
          <cell r="K66">
            <v>8</v>
          </cell>
          <cell r="L66">
            <v>4</v>
          </cell>
          <cell r="M66" t="str">
            <v>冬</v>
          </cell>
          <cell r="N66">
            <v>40098</v>
          </cell>
          <cell r="O66">
            <v>40208</v>
          </cell>
          <cell r="P66">
            <v>111</v>
          </cell>
          <cell r="Q66" t="str">
            <v>35日前</v>
          </cell>
          <cell r="R66">
            <v>40063</v>
          </cell>
          <cell r="S66">
            <v>40212</v>
          </cell>
          <cell r="T66">
            <v>40080</v>
          </cell>
          <cell r="U66">
            <v>40243</v>
          </cell>
          <cell r="V66">
            <v>500</v>
          </cell>
          <cell r="W66">
            <v>496</v>
          </cell>
          <cell r="X66">
            <v>19</v>
          </cell>
          <cell r="Y66">
            <v>1</v>
          </cell>
          <cell r="Z66" t="str">
            <v>無償</v>
          </cell>
          <cell r="AA66" t="str">
            <v>通常体系</v>
          </cell>
          <cell r="AB66" t="str">
            <v>×</v>
          </cell>
          <cell r="AE66" t="str">
            <v>35日前</v>
          </cell>
          <cell r="AF66">
            <v>40063</v>
          </cell>
          <cell r="AG66">
            <v>40212</v>
          </cell>
          <cell r="AH66">
            <v>40080</v>
          </cell>
          <cell r="AI66">
            <v>40243</v>
          </cell>
          <cell r="AJ66">
            <v>500</v>
          </cell>
          <cell r="AK66">
            <v>496</v>
          </cell>
          <cell r="AL66">
            <v>19</v>
          </cell>
          <cell r="AM66">
            <v>1</v>
          </cell>
          <cell r="AN66" t="str">
            <v>無償</v>
          </cell>
          <cell r="AO66" t="str">
            <v>通常体系</v>
          </cell>
          <cell r="AP66" t="str">
            <v>×</v>
          </cell>
        </row>
        <row r="67">
          <cell r="H67" t="str">
            <v>0：通常</v>
          </cell>
          <cell r="I67">
            <v>0</v>
          </cell>
          <cell r="J67" t="str">
            <v>B4</v>
          </cell>
          <cell r="K67">
            <v>24</v>
          </cell>
          <cell r="L67">
            <v>4</v>
          </cell>
          <cell r="M67" t="str">
            <v>冬</v>
          </cell>
          <cell r="N67">
            <v>40098</v>
          </cell>
          <cell r="O67">
            <v>40201</v>
          </cell>
          <cell r="P67">
            <v>104</v>
          </cell>
          <cell r="Q67" t="str">
            <v>35日前</v>
          </cell>
          <cell r="R67">
            <v>40063</v>
          </cell>
          <cell r="S67">
            <v>40205</v>
          </cell>
          <cell r="T67">
            <v>40080</v>
          </cell>
          <cell r="U67">
            <v>40236</v>
          </cell>
          <cell r="V67" t="str">
            <v>1000→1100</v>
          </cell>
          <cell r="W67">
            <v>1040</v>
          </cell>
          <cell r="X67">
            <v>2</v>
          </cell>
          <cell r="Y67">
            <v>1</v>
          </cell>
          <cell r="Z67" t="str">
            <v>無償</v>
          </cell>
          <cell r="AA67" t="str">
            <v>通常体系</v>
          </cell>
          <cell r="AB67" t="str">
            <v>×</v>
          </cell>
          <cell r="AE67" t="str">
            <v>35日前</v>
          </cell>
          <cell r="AF67">
            <v>40063</v>
          </cell>
          <cell r="AG67">
            <v>40205</v>
          </cell>
          <cell r="AH67">
            <v>40080</v>
          </cell>
          <cell r="AI67">
            <v>40236</v>
          </cell>
          <cell r="AJ67" t="str">
            <v>1000→1100</v>
          </cell>
          <cell r="AK67">
            <v>1040</v>
          </cell>
          <cell r="AL67">
            <v>2</v>
          </cell>
          <cell r="AM67">
            <v>1</v>
          </cell>
          <cell r="AN67" t="str">
            <v>無償</v>
          </cell>
          <cell r="AO67" t="str">
            <v>通常体系</v>
          </cell>
          <cell r="AP67" t="str">
            <v>×</v>
          </cell>
        </row>
        <row r="68">
          <cell r="H68" t="str">
            <v>1：新枠</v>
          </cell>
          <cell r="I68">
            <v>1</v>
          </cell>
          <cell r="J68" t="str">
            <v>A4</v>
          </cell>
          <cell r="K68">
            <v>96</v>
          </cell>
          <cell r="L68">
            <v>4</v>
          </cell>
          <cell r="M68" t="str">
            <v>冬</v>
          </cell>
          <cell r="N68">
            <v>40105</v>
          </cell>
          <cell r="O68">
            <v>40208</v>
          </cell>
          <cell r="P68">
            <v>104</v>
          </cell>
          <cell r="Q68" t="str">
            <v>35日前</v>
          </cell>
          <cell r="R68">
            <v>40070</v>
          </cell>
          <cell r="S68">
            <v>40212</v>
          </cell>
          <cell r="T68">
            <v>40087</v>
          </cell>
          <cell r="U68">
            <v>40243</v>
          </cell>
          <cell r="V68" t="str">
            <v>2100→2800</v>
          </cell>
          <cell r="W68">
            <v>2661</v>
          </cell>
          <cell r="X68">
            <v>98</v>
          </cell>
          <cell r="Y68">
            <v>1</v>
          </cell>
          <cell r="Z68" t="str">
            <v>無償</v>
          </cell>
          <cell r="AA68" t="str">
            <v>通常体系</v>
          </cell>
          <cell r="AB68" t="str">
            <v>×</v>
          </cell>
          <cell r="AE68" t="str">
            <v>35日前</v>
          </cell>
          <cell r="AF68">
            <v>40070</v>
          </cell>
          <cell r="AG68">
            <v>40212</v>
          </cell>
          <cell r="AH68">
            <v>40087</v>
          </cell>
          <cell r="AI68">
            <v>40243</v>
          </cell>
          <cell r="AJ68" t="str">
            <v>2100→2800</v>
          </cell>
          <cell r="AK68">
            <v>2661</v>
          </cell>
          <cell r="AL68">
            <v>98</v>
          </cell>
          <cell r="AM68">
            <v>1</v>
          </cell>
          <cell r="AN68" t="str">
            <v>無償</v>
          </cell>
          <cell r="AO68" t="str">
            <v>通常体系</v>
          </cell>
          <cell r="AP68" t="str">
            <v>×</v>
          </cell>
        </row>
        <row r="69">
          <cell r="H69" t="str">
            <v>0：通常</v>
          </cell>
          <cell r="I69">
            <v>0</v>
          </cell>
          <cell r="J69" t="str">
            <v>B4</v>
          </cell>
          <cell r="K69">
            <v>16</v>
          </cell>
          <cell r="L69">
            <v>4</v>
          </cell>
          <cell r="M69" t="str">
            <v>冬</v>
          </cell>
          <cell r="N69">
            <v>40119</v>
          </cell>
          <cell r="O69">
            <v>40229</v>
          </cell>
          <cell r="P69">
            <v>111</v>
          </cell>
          <cell r="Q69" t="str">
            <v>35日前</v>
          </cell>
          <cell r="R69">
            <v>40084</v>
          </cell>
          <cell r="S69">
            <v>40233</v>
          </cell>
          <cell r="T69">
            <v>40101</v>
          </cell>
          <cell r="U69">
            <v>40264</v>
          </cell>
          <cell r="V69">
            <v>1100</v>
          </cell>
          <cell r="X69">
            <v>4</v>
          </cell>
          <cell r="Y69">
            <v>1</v>
          </cell>
          <cell r="Z69" t="str">
            <v>無償</v>
          </cell>
          <cell r="AA69" t="str">
            <v>通常体系</v>
          </cell>
          <cell r="AB69" t="str">
            <v>○</v>
          </cell>
          <cell r="AE69" t="str">
            <v>35日前</v>
          </cell>
          <cell r="AF69">
            <v>40084</v>
          </cell>
          <cell r="AG69">
            <v>40233</v>
          </cell>
          <cell r="AH69">
            <v>40101</v>
          </cell>
          <cell r="AI69">
            <v>40264</v>
          </cell>
          <cell r="AJ69">
            <v>1100</v>
          </cell>
          <cell r="AL69">
            <v>4</v>
          </cell>
          <cell r="AM69">
            <v>1</v>
          </cell>
          <cell r="AN69" t="str">
            <v>無償</v>
          </cell>
          <cell r="AO69" t="str">
            <v>通常体系</v>
          </cell>
          <cell r="AP69" t="str">
            <v>○</v>
          </cell>
        </row>
        <row r="70">
          <cell r="H70" t="str">
            <v>1：新枠</v>
          </cell>
          <cell r="I70">
            <v>1</v>
          </cell>
          <cell r="J70" t="str">
            <v>B4</v>
          </cell>
          <cell r="K70">
            <v>16</v>
          </cell>
          <cell r="L70">
            <v>4</v>
          </cell>
          <cell r="M70" t="str">
            <v>冬</v>
          </cell>
          <cell r="N70">
            <v>40119</v>
          </cell>
          <cell r="O70">
            <v>40222</v>
          </cell>
          <cell r="P70">
            <v>104</v>
          </cell>
          <cell r="Q70" t="str">
            <v>35日前</v>
          </cell>
          <cell r="R70">
            <v>40084</v>
          </cell>
          <cell r="S70">
            <v>40226</v>
          </cell>
          <cell r="T70">
            <v>40101</v>
          </cell>
          <cell r="U70">
            <v>40257</v>
          </cell>
          <cell r="V70" t="str">
            <v>900→1100</v>
          </cell>
          <cell r="X70">
            <v>15</v>
          </cell>
          <cell r="Y70">
            <v>1</v>
          </cell>
          <cell r="Z70" t="str">
            <v>無償</v>
          </cell>
          <cell r="AA70" t="str">
            <v>通常体系</v>
          </cell>
          <cell r="AB70" t="str">
            <v>×</v>
          </cell>
          <cell r="AE70" t="str">
            <v>35日前</v>
          </cell>
          <cell r="AF70">
            <v>40084</v>
          </cell>
          <cell r="AG70">
            <v>40226</v>
          </cell>
          <cell r="AH70">
            <v>40101</v>
          </cell>
          <cell r="AI70">
            <v>40257</v>
          </cell>
          <cell r="AJ70" t="str">
            <v>900→1100</v>
          </cell>
          <cell r="AL70">
            <v>15</v>
          </cell>
          <cell r="AM70">
            <v>1</v>
          </cell>
          <cell r="AN70" t="str">
            <v>無償</v>
          </cell>
          <cell r="AO70" t="str">
            <v>通常体系</v>
          </cell>
          <cell r="AP70" t="str">
            <v>×</v>
          </cell>
        </row>
        <row r="71">
          <cell r="H71" t="str">
            <v>1：新枠</v>
          </cell>
          <cell r="I71">
            <v>1</v>
          </cell>
          <cell r="J71" t="str">
            <v>B4</v>
          </cell>
          <cell r="K71">
            <v>16</v>
          </cell>
          <cell r="L71">
            <v>4</v>
          </cell>
          <cell r="M71" t="str">
            <v>冬</v>
          </cell>
          <cell r="N71">
            <v>40126</v>
          </cell>
          <cell r="O71">
            <v>40201</v>
          </cell>
          <cell r="P71">
            <v>76</v>
          </cell>
          <cell r="Q71" t="str">
            <v>35日前</v>
          </cell>
          <cell r="R71">
            <v>40091</v>
          </cell>
          <cell r="S71">
            <v>40205</v>
          </cell>
          <cell r="T71">
            <v>40108</v>
          </cell>
          <cell r="U71">
            <v>40236</v>
          </cell>
          <cell r="V71">
            <v>700</v>
          </cell>
          <cell r="X71">
            <v>4</v>
          </cell>
          <cell r="Y71">
            <v>1</v>
          </cell>
          <cell r="Z71" t="str">
            <v>無償</v>
          </cell>
          <cell r="AA71" t="str">
            <v>通常体系</v>
          </cell>
          <cell r="AB71" t="str">
            <v>○</v>
          </cell>
          <cell r="AE71" t="str">
            <v>35日前</v>
          </cell>
          <cell r="AF71">
            <v>40091</v>
          </cell>
          <cell r="AG71">
            <v>40205</v>
          </cell>
          <cell r="AH71">
            <v>40108</v>
          </cell>
          <cell r="AI71">
            <v>40236</v>
          </cell>
          <cell r="AJ71">
            <v>700</v>
          </cell>
          <cell r="AL71">
            <v>4</v>
          </cell>
          <cell r="AM71">
            <v>1</v>
          </cell>
          <cell r="AN71" t="str">
            <v>無償</v>
          </cell>
          <cell r="AO71" t="str">
            <v>通常体系</v>
          </cell>
          <cell r="AP71" t="str">
            <v>○</v>
          </cell>
        </row>
        <row r="72">
          <cell r="H72" t="str">
            <v>0：通常</v>
          </cell>
          <cell r="I72">
            <v>0</v>
          </cell>
          <cell r="J72" t="str">
            <v>B4</v>
          </cell>
          <cell r="K72">
            <v>32</v>
          </cell>
          <cell r="L72">
            <v>4</v>
          </cell>
          <cell r="M72" t="str">
            <v>冬</v>
          </cell>
          <cell r="N72">
            <v>40126</v>
          </cell>
          <cell r="O72">
            <v>40201</v>
          </cell>
          <cell r="P72">
            <v>76</v>
          </cell>
          <cell r="Q72" t="str">
            <v>35日前</v>
          </cell>
          <cell r="R72">
            <v>40091</v>
          </cell>
          <cell r="S72">
            <v>40205</v>
          </cell>
          <cell r="T72">
            <v>40108</v>
          </cell>
          <cell r="U72">
            <v>40236</v>
          </cell>
          <cell r="V72">
            <v>1200</v>
          </cell>
          <cell r="X72">
            <v>2</v>
          </cell>
          <cell r="Y72">
            <v>1</v>
          </cell>
          <cell r="Z72" t="str">
            <v>無償</v>
          </cell>
          <cell r="AA72" t="str">
            <v>通常体系</v>
          </cell>
          <cell r="AB72" t="str">
            <v>×</v>
          </cell>
          <cell r="AE72" t="str">
            <v>35日前</v>
          </cell>
          <cell r="AF72">
            <v>40091</v>
          </cell>
          <cell r="AG72">
            <v>40205</v>
          </cell>
          <cell r="AH72">
            <v>40108</v>
          </cell>
          <cell r="AI72">
            <v>40236</v>
          </cell>
          <cell r="AJ72">
            <v>1200</v>
          </cell>
          <cell r="AL72">
            <v>2</v>
          </cell>
          <cell r="AM72">
            <v>1</v>
          </cell>
          <cell r="AN72" t="str">
            <v>無償</v>
          </cell>
          <cell r="AO72" t="str">
            <v>通常体系</v>
          </cell>
          <cell r="AP72" t="str">
            <v>×</v>
          </cell>
        </row>
        <row r="73">
          <cell r="H73" t="str">
            <v>1：新枠</v>
          </cell>
          <cell r="I73">
            <v>1</v>
          </cell>
          <cell r="J73" t="str">
            <v>B4</v>
          </cell>
          <cell r="K73">
            <v>8</v>
          </cell>
          <cell r="L73">
            <v>4</v>
          </cell>
          <cell r="M73" t="str">
            <v>冬</v>
          </cell>
          <cell r="N73">
            <v>40133</v>
          </cell>
          <cell r="O73">
            <v>40215</v>
          </cell>
          <cell r="P73">
            <v>83</v>
          </cell>
          <cell r="Q73" t="str">
            <v>35日前</v>
          </cell>
          <cell r="R73">
            <v>40098</v>
          </cell>
          <cell r="S73">
            <v>40219</v>
          </cell>
          <cell r="T73">
            <v>40115</v>
          </cell>
          <cell r="U73">
            <v>40250</v>
          </cell>
          <cell r="V73" t="str">
            <v>400→500</v>
          </cell>
          <cell r="X73">
            <v>15</v>
          </cell>
          <cell r="Y73">
            <v>1</v>
          </cell>
          <cell r="Z73" t="str">
            <v>無償</v>
          </cell>
          <cell r="AA73" t="str">
            <v>通常体系</v>
          </cell>
          <cell r="AB73" t="str">
            <v>×</v>
          </cell>
          <cell r="AE73" t="str">
            <v>35日前</v>
          </cell>
          <cell r="AF73">
            <v>40098</v>
          </cell>
          <cell r="AG73">
            <v>40219</v>
          </cell>
          <cell r="AH73">
            <v>40115</v>
          </cell>
          <cell r="AI73">
            <v>40250</v>
          </cell>
          <cell r="AJ73" t="str">
            <v>400→500</v>
          </cell>
          <cell r="AL73">
            <v>15</v>
          </cell>
          <cell r="AM73">
            <v>1</v>
          </cell>
          <cell r="AN73" t="str">
            <v>無償</v>
          </cell>
          <cell r="AO73" t="str">
            <v>通常体系</v>
          </cell>
          <cell r="AP73" t="str">
            <v>×</v>
          </cell>
        </row>
        <row r="74">
          <cell r="H74" t="str">
            <v>0：通常</v>
          </cell>
          <cell r="I74">
            <v>0</v>
          </cell>
          <cell r="J74" t="str">
            <v>B4</v>
          </cell>
          <cell r="K74">
            <v>16</v>
          </cell>
          <cell r="L74">
            <v>4</v>
          </cell>
          <cell r="M74" t="str">
            <v>新春</v>
          </cell>
          <cell r="N74">
            <v>40182</v>
          </cell>
          <cell r="O74">
            <v>40264</v>
          </cell>
          <cell r="P74">
            <v>83</v>
          </cell>
          <cell r="Q74" t="str">
            <v>35日前</v>
          </cell>
          <cell r="R74">
            <v>40147</v>
          </cell>
          <cell r="S74">
            <v>40268</v>
          </cell>
          <cell r="T74">
            <v>40164</v>
          </cell>
          <cell r="U74">
            <v>40299</v>
          </cell>
          <cell r="V74" t="str">
            <v>1300→1500</v>
          </cell>
          <cell r="W74">
            <v>1130</v>
          </cell>
          <cell r="X74">
            <v>14</v>
          </cell>
          <cell r="Y74">
            <v>1</v>
          </cell>
          <cell r="Z74" t="str">
            <v>無償</v>
          </cell>
          <cell r="AA74" t="str">
            <v>通常体系</v>
          </cell>
          <cell r="AB74" t="str">
            <v>×</v>
          </cell>
          <cell r="AE74" t="str">
            <v>35日前</v>
          </cell>
          <cell r="AF74">
            <v>40147</v>
          </cell>
          <cell r="AG74">
            <v>40268</v>
          </cell>
          <cell r="AH74">
            <v>40164</v>
          </cell>
          <cell r="AI74">
            <v>40299</v>
          </cell>
          <cell r="AJ74" t="str">
            <v>1300→1500</v>
          </cell>
          <cell r="AK74">
            <v>1130</v>
          </cell>
          <cell r="AL74">
            <v>14</v>
          </cell>
          <cell r="AM74">
            <v>1</v>
          </cell>
          <cell r="AN74" t="str">
            <v>無償</v>
          </cell>
          <cell r="AO74" t="str">
            <v>通常体系</v>
          </cell>
          <cell r="AP74" t="str">
            <v>×</v>
          </cell>
        </row>
        <row r="75">
          <cell r="H75" t="str">
            <v>3：増枠</v>
          </cell>
          <cell r="I75">
            <v>3</v>
          </cell>
          <cell r="J75" t="str">
            <v>B4</v>
          </cell>
          <cell r="K75">
            <v>16</v>
          </cell>
          <cell r="L75">
            <v>6</v>
          </cell>
          <cell r="M75" t="str">
            <v>新春</v>
          </cell>
          <cell r="N75">
            <v>40147</v>
          </cell>
          <cell r="O75">
            <v>40250</v>
          </cell>
          <cell r="P75">
            <v>104</v>
          </cell>
          <cell r="Q75" t="str">
            <v>35日前</v>
          </cell>
          <cell r="R75">
            <v>40112</v>
          </cell>
          <cell r="S75">
            <v>40254</v>
          </cell>
          <cell r="T75">
            <v>40129</v>
          </cell>
          <cell r="U75">
            <v>40285</v>
          </cell>
          <cell r="V75">
            <v>700</v>
          </cell>
          <cell r="W75">
            <v>649</v>
          </cell>
          <cell r="X75">
            <v>15</v>
          </cell>
          <cell r="Y75">
            <v>1</v>
          </cell>
          <cell r="Z75" t="str">
            <v>無償</v>
          </cell>
          <cell r="AA75" t="str">
            <v>通常体系</v>
          </cell>
          <cell r="AB75" t="str">
            <v>×</v>
          </cell>
          <cell r="AE75" t="str">
            <v>35日前</v>
          </cell>
          <cell r="AF75">
            <v>40112</v>
          </cell>
          <cell r="AG75">
            <v>40254</v>
          </cell>
          <cell r="AH75">
            <v>40129</v>
          </cell>
          <cell r="AI75">
            <v>40285</v>
          </cell>
          <cell r="AJ75">
            <v>700</v>
          </cell>
          <cell r="AK75">
            <v>649</v>
          </cell>
          <cell r="AL75">
            <v>15</v>
          </cell>
          <cell r="AM75">
            <v>1</v>
          </cell>
          <cell r="AN75" t="str">
            <v>無償</v>
          </cell>
          <cell r="AO75" t="str">
            <v>通常体系</v>
          </cell>
          <cell r="AP75" t="str">
            <v>×</v>
          </cell>
        </row>
        <row r="76">
          <cell r="H76" t="str">
            <v>0：通常</v>
          </cell>
          <cell r="I76">
            <v>0</v>
          </cell>
          <cell r="J76" t="str">
            <v>B4</v>
          </cell>
          <cell r="K76">
            <v>16</v>
          </cell>
          <cell r="L76">
            <v>6</v>
          </cell>
          <cell r="M76" t="str">
            <v>新春</v>
          </cell>
          <cell r="N76">
            <v>40168</v>
          </cell>
          <cell r="O76">
            <v>40250</v>
          </cell>
          <cell r="P76">
            <v>83</v>
          </cell>
          <cell r="Q76" t="str">
            <v>35日前</v>
          </cell>
          <cell r="R76">
            <v>40133</v>
          </cell>
          <cell r="S76">
            <v>40254</v>
          </cell>
          <cell r="T76">
            <v>40150</v>
          </cell>
          <cell r="U76">
            <v>40285</v>
          </cell>
          <cell r="V76">
            <v>1500</v>
          </cell>
          <cell r="X76">
            <v>2</v>
          </cell>
          <cell r="Y76">
            <v>1</v>
          </cell>
          <cell r="Z76" t="str">
            <v>無償</v>
          </cell>
          <cell r="AA76" t="str">
            <v>通常体系</v>
          </cell>
          <cell r="AB76" t="str">
            <v>×</v>
          </cell>
          <cell r="AE76" t="str">
            <v>35日前</v>
          </cell>
          <cell r="AF76">
            <v>40133</v>
          </cell>
          <cell r="AG76">
            <v>40254</v>
          </cell>
          <cell r="AH76">
            <v>40150</v>
          </cell>
          <cell r="AI76">
            <v>40285</v>
          </cell>
          <cell r="AJ76">
            <v>1500</v>
          </cell>
          <cell r="AL76">
            <v>2</v>
          </cell>
          <cell r="AM76">
            <v>1</v>
          </cell>
          <cell r="AN76" t="str">
            <v>無償</v>
          </cell>
          <cell r="AO76" t="str">
            <v>通常体系</v>
          </cell>
          <cell r="AP76" t="str">
            <v>×</v>
          </cell>
        </row>
        <row r="77">
          <cell r="H77" t="str">
            <v>0：通常</v>
          </cell>
          <cell r="I77">
            <v>0</v>
          </cell>
          <cell r="J77" t="str">
            <v>B4</v>
          </cell>
          <cell r="K77">
            <v>16</v>
          </cell>
          <cell r="L77">
            <v>6</v>
          </cell>
          <cell r="M77" t="str">
            <v>新春</v>
          </cell>
          <cell r="N77">
            <v>40168</v>
          </cell>
          <cell r="O77">
            <v>40271</v>
          </cell>
          <cell r="P77">
            <v>104</v>
          </cell>
          <cell r="Q77" t="str">
            <v>35日前</v>
          </cell>
          <cell r="R77">
            <v>40133</v>
          </cell>
          <cell r="S77">
            <v>40275</v>
          </cell>
          <cell r="T77">
            <v>40150</v>
          </cell>
          <cell r="U77">
            <v>40306</v>
          </cell>
          <cell r="V77" t="str">
            <v>1200→1300</v>
          </cell>
          <cell r="W77">
            <v>1298</v>
          </cell>
          <cell r="X77">
            <v>4</v>
          </cell>
          <cell r="Y77">
            <v>1</v>
          </cell>
          <cell r="Z77" t="str">
            <v>無償</v>
          </cell>
          <cell r="AA77" t="str">
            <v>通常体系</v>
          </cell>
          <cell r="AB77" t="str">
            <v>○</v>
          </cell>
          <cell r="AE77" t="str">
            <v>35日前</v>
          </cell>
          <cell r="AF77">
            <v>40133</v>
          </cell>
          <cell r="AG77">
            <v>40275</v>
          </cell>
          <cell r="AH77">
            <v>40150</v>
          </cell>
          <cell r="AI77">
            <v>40306</v>
          </cell>
          <cell r="AJ77" t="str">
            <v>1200→1300</v>
          </cell>
          <cell r="AK77">
            <v>1298</v>
          </cell>
          <cell r="AL77">
            <v>4</v>
          </cell>
          <cell r="AM77">
            <v>1</v>
          </cell>
          <cell r="AN77" t="str">
            <v>無償</v>
          </cell>
          <cell r="AO77" t="str">
            <v>通常体系</v>
          </cell>
          <cell r="AP77" t="str">
            <v>○</v>
          </cell>
        </row>
        <row r="78">
          <cell r="H78" t="str">
            <v>3：増枠</v>
          </cell>
          <cell r="I78">
            <v>3</v>
          </cell>
          <cell r="J78" t="str">
            <v>A4</v>
          </cell>
          <cell r="K78">
            <v>215</v>
          </cell>
          <cell r="L78">
            <v>1</v>
          </cell>
          <cell r="M78" t="str">
            <v>春</v>
          </cell>
          <cell r="N78">
            <v>40189</v>
          </cell>
          <cell r="O78">
            <v>40334</v>
          </cell>
          <cell r="P78">
            <v>146</v>
          </cell>
          <cell r="Q78" t="str">
            <v>35日前</v>
          </cell>
          <cell r="R78">
            <v>40154</v>
          </cell>
          <cell r="S78">
            <v>40338</v>
          </cell>
          <cell r="T78">
            <v>40171</v>
          </cell>
          <cell r="U78">
            <v>40369</v>
          </cell>
          <cell r="V78" t="str">
            <v>4100→4300→4400</v>
          </cell>
          <cell r="X78">
            <v>1</v>
          </cell>
          <cell r="Y78">
            <v>1</v>
          </cell>
          <cell r="Z78" t="str">
            <v>無償</v>
          </cell>
          <cell r="AA78" t="str">
            <v>通常体系</v>
          </cell>
          <cell r="AB78" t="str">
            <v>○</v>
          </cell>
          <cell r="AE78" t="str">
            <v>35日前</v>
          </cell>
          <cell r="AF78">
            <v>40154</v>
          </cell>
          <cell r="AG78">
            <v>40338</v>
          </cell>
          <cell r="AH78">
            <v>40171</v>
          </cell>
          <cell r="AI78">
            <v>40369</v>
          </cell>
          <cell r="AJ78" t="str">
            <v>4100→4300→4400</v>
          </cell>
          <cell r="AL78">
            <v>1</v>
          </cell>
          <cell r="AM78">
            <v>1</v>
          </cell>
          <cell r="AN78" t="str">
            <v>無償</v>
          </cell>
          <cell r="AO78" t="str">
            <v>通常体系</v>
          </cell>
          <cell r="AP78" t="str">
            <v>○</v>
          </cell>
        </row>
        <row r="79">
          <cell r="H79" t="str">
            <v>0：通常</v>
          </cell>
          <cell r="I79">
            <v>0</v>
          </cell>
          <cell r="J79" t="str">
            <v>B4</v>
          </cell>
          <cell r="K79">
            <v>16</v>
          </cell>
          <cell r="L79">
            <v>1</v>
          </cell>
          <cell r="M79" t="str">
            <v>春</v>
          </cell>
          <cell r="N79">
            <v>40175</v>
          </cell>
          <cell r="O79">
            <v>40278</v>
          </cell>
          <cell r="P79">
            <v>104</v>
          </cell>
          <cell r="Q79" t="str">
            <v>28日前</v>
          </cell>
          <cell r="R79">
            <v>40147</v>
          </cell>
          <cell r="S79">
            <v>40282</v>
          </cell>
          <cell r="T79">
            <v>40157</v>
          </cell>
          <cell r="U79">
            <v>40313</v>
          </cell>
          <cell r="V79">
            <v>1000</v>
          </cell>
          <cell r="X79">
            <v>25</v>
          </cell>
          <cell r="Y79">
            <v>1</v>
          </cell>
          <cell r="Z79" t="str">
            <v>無償</v>
          </cell>
          <cell r="AA79" t="str">
            <v>通常体系</v>
          </cell>
          <cell r="AB79" t="str">
            <v>×</v>
          </cell>
          <cell r="AE79" t="str">
            <v>28日前</v>
          </cell>
          <cell r="AF79">
            <v>40147</v>
          </cell>
          <cell r="AG79">
            <v>40282</v>
          </cell>
          <cell r="AH79">
            <v>40157</v>
          </cell>
          <cell r="AI79">
            <v>40313</v>
          </cell>
          <cell r="AJ79">
            <v>1000</v>
          </cell>
          <cell r="AL79">
            <v>25</v>
          </cell>
          <cell r="AM79">
            <v>1</v>
          </cell>
          <cell r="AN79" t="str">
            <v>無償</v>
          </cell>
          <cell r="AO79" t="str">
            <v>通常体系</v>
          </cell>
          <cell r="AP79" t="str">
            <v>×</v>
          </cell>
        </row>
        <row r="80">
          <cell r="H80" t="str">
            <v>1：新枠</v>
          </cell>
          <cell r="I80">
            <v>1</v>
          </cell>
          <cell r="J80" t="str">
            <v>B4</v>
          </cell>
          <cell r="K80">
            <v>16</v>
          </cell>
          <cell r="L80">
            <v>1</v>
          </cell>
          <cell r="M80" t="str">
            <v>春</v>
          </cell>
          <cell r="N80">
            <v>40189</v>
          </cell>
          <cell r="O80">
            <v>40278</v>
          </cell>
          <cell r="P80">
            <v>90</v>
          </cell>
          <cell r="Q80" t="str">
            <v>35日前</v>
          </cell>
          <cell r="R80">
            <v>40154</v>
          </cell>
          <cell r="S80">
            <v>40282</v>
          </cell>
          <cell r="T80">
            <v>40171</v>
          </cell>
          <cell r="U80">
            <v>40313</v>
          </cell>
          <cell r="V80">
            <v>500</v>
          </cell>
          <cell r="W80">
            <v>353</v>
          </cell>
          <cell r="X80">
            <v>4</v>
          </cell>
          <cell r="Y80">
            <v>1</v>
          </cell>
          <cell r="Z80" t="str">
            <v>無償</v>
          </cell>
          <cell r="AA80" t="str">
            <v>通常体系</v>
          </cell>
          <cell r="AB80" t="str">
            <v>○</v>
          </cell>
          <cell r="AE80" t="str">
            <v>35日前</v>
          </cell>
          <cell r="AF80">
            <v>40154</v>
          </cell>
          <cell r="AG80">
            <v>40282</v>
          </cell>
          <cell r="AH80">
            <v>40171</v>
          </cell>
          <cell r="AI80">
            <v>40313</v>
          </cell>
          <cell r="AJ80">
            <v>500</v>
          </cell>
          <cell r="AK80">
            <v>353</v>
          </cell>
          <cell r="AL80">
            <v>19</v>
          </cell>
          <cell r="AM80">
            <v>1</v>
          </cell>
          <cell r="AN80" t="str">
            <v>無償</v>
          </cell>
          <cell r="AO80" t="str">
            <v>通常体系</v>
          </cell>
          <cell r="AP80" t="str">
            <v>×</v>
          </cell>
        </row>
        <row r="81">
          <cell r="H81" t="str">
            <v>0：通常</v>
          </cell>
          <cell r="I81">
            <v>0</v>
          </cell>
          <cell r="J81" t="str">
            <v>B4</v>
          </cell>
          <cell r="K81">
            <v>16</v>
          </cell>
          <cell r="L81">
            <v>6</v>
          </cell>
          <cell r="M81" t="str">
            <v>新春</v>
          </cell>
          <cell r="N81">
            <v>40189</v>
          </cell>
          <cell r="O81">
            <v>40278</v>
          </cell>
          <cell r="P81">
            <v>90</v>
          </cell>
          <cell r="Q81" t="str">
            <v>35日前</v>
          </cell>
          <cell r="R81">
            <v>40154</v>
          </cell>
          <cell r="S81">
            <v>40282</v>
          </cell>
          <cell r="T81">
            <v>40171</v>
          </cell>
          <cell r="U81">
            <v>40313</v>
          </cell>
          <cell r="V81">
            <v>1700</v>
          </cell>
          <cell r="W81">
            <v>1674</v>
          </cell>
          <cell r="X81">
            <v>19</v>
          </cell>
          <cell r="Y81">
            <v>1</v>
          </cell>
          <cell r="Z81" t="str">
            <v>無償</v>
          </cell>
          <cell r="AA81" t="str">
            <v>通常体系</v>
          </cell>
          <cell r="AB81" t="str">
            <v>×</v>
          </cell>
          <cell r="AE81" t="str">
            <v>35日前</v>
          </cell>
          <cell r="AF81">
            <v>40154</v>
          </cell>
          <cell r="AG81">
            <v>40282</v>
          </cell>
          <cell r="AH81">
            <v>40171</v>
          </cell>
          <cell r="AI81">
            <v>40313</v>
          </cell>
          <cell r="AJ81">
            <v>1700</v>
          </cell>
          <cell r="AK81">
            <v>1674</v>
          </cell>
          <cell r="AL81">
            <v>4</v>
          </cell>
          <cell r="AM81">
            <v>1</v>
          </cell>
          <cell r="AN81" t="str">
            <v>無償</v>
          </cell>
          <cell r="AO81" t="str">
            <v>通常体系</v>
          </cell>
          <cell r="AP81" t="str">
            <v>○</v>
          </cell>
        </row>
        <row r="82">
          <cell r="H82" t="str">
            <v>1：新枠</v>
          </cell>
          <cell r="I82">
            <v>1</v>
          </cell>
          <cell r="J82" t="str">
            <v>B4</v>
          </cell>
          <cell r="K82">
            <v>16</v>
          </cell>
          <cell r="L82">
            <v>1</v>
          </cell>
          <cell r="M82" t="str">
            <v>春</v>
          </cell>
          <cell r="N82">
            <v>40196</v>
          </cell>
          <cell r="O82">
            <v>40299</v>
          </cell>
          <cell r="P82">
            <v>104</v>
          </cell>
          <cell r="Q82" t="str">
            <v>35日前</v>
          </cell>
          <cell r="R82">
            <v>40161</v>
          </cell>
          <cell r="S82">
            <v>40303</v>
          </cell>
          <cell r="T82">
            <v>40178</v>
          </cell>
          <cell r="U82">
            <v>40334</v>
          </cell>
          <cell r="V82">
            <v>700</v>
          </cell>
          <cell r="W82">
            <v>675</v>
          </cell>
          <cell r="X82">
            <v>4</v>
          </cell>
          <cell r="Y82">
            <v>1</v>
          </cell>
          <cell r="Z82" t="str">
            <v>無償</v>
          </cell>
          <cell r="AA82" t="str">
            <v>通常体系</v>
          </cell>
          <cell r="AB82" t="str">
            <v>○</v>
          </cell>
          <cell r="AE82" t="str">
            <v>35日前</v>
          </cell>
          <cell r="AF82">
            <v>40161</v>
          </cell>
          <cell r="AG82">
            <v>40303</v>
          </cell>
          <cell r="AH82">
            <v>40178</v>
          </cell>
          <cell r="AI82">
            <v>40334</v>
          </cell>
          <cell r="AJ82">
            <v>700</v>
          </cell>
          <cell r="AK82">
            <v>675</v>
          </cell>
          <cell r="AL82">
            <v>23</v>
          </cell>
          <cell r="AM82">
            <v>1</v>
          </cell>
          <cell r="AN82" t="str">
            <v>無償</v>
          </cell>
          <cell r="AO82" t="str">
            <v>通常体系</v>
          </cell>
          <cell r="AP82" t="str">
            <v>×</v>
          </cell>
        </row>
        <row r="83">
          <cell r="H83" t="str">
            <v>1：新枠</v>
          </cell>
          <cell r="I83">
            <v>1</v>
          </cell>
          <cell r="J83" t="str">
            <v>B4</v>
          </cell>
          <cell r="K83">
            <v>16</v>
          </cell>
          <cell r="L83">
            <v>1</v>
          </cell>
          <cell r="M83" t="str">
            <v>春</v>
          </cell>
          <cell r="N83">
            <v>40196</v>
          </cell>
          <cell r="O83">
            <v>40285</v>
          </cell>
          <cell r="P83">
            <v>90</v>
          </cell>
          <cell r="Q83" t="str">
            <v>35日前</v>
          </cell>
          <cell r="R83">
            <v>40161</v>
          </cell>
          <cell r="S83">
            <v>40289</v>
          </cell>
          <cell r="T83">
            <v>40178</v>
          </cell>
          <cell r="U83">
            <v>40320</v>
          </cell>
          <cell r="V83">
            <v>500</v>
          </cell>
          <cell r="W83">
            <v>294</v>
          </cell>
          <cell r="X83">
            <v>23</v>
          </cell>
          <cell r="Y83">
            <v>1</v>
          </cell>
          <cell r="Z83" t="str">
            <v>無償</v>
          </cell>
          <cell r="AA83" t="str">
            <v>通常体系</v>
          </cell>
          <cell r="AB83" t="str">
            <v>×</v>
          </cell>
          <cell r="AE83" t="str">
            <v>35日前</v>
          </cell>
          <cell r="AF83">
            <v>40161</v>
          </cell>
          <cell r="AG83">
            <v>40289</v>
          </cell>
          <cell r="AH83">
            <v>40178</v>
          </cell>
          <cell r="AI83">
            <v>40320</v>
          </cell>
          <cell r="AJ83">
            <v>500</v>
          </cell>
          <cell r="AK83">
            <v>294</v>
          </cell>
          <cell r="AL83">
            <v>1</v>
          </cell>
          <cell r="AM83">
            <v>1</v>
          </cell>
          <cell r="AN83" t="str">
            <v>無償</v>
          </cell>
          <cell r="AO83" t="str">
            <v>通常体系</v>
          </cell>
          <cell r="AP83" t="str">
            <v>○</v>
          </cell>
        </row>
        <row r="84">
          <cell r="H84" t="str">
            <v>3：増枠</v>
          </cell>
          <cell r="I84">
            <v>3</v>
          </cell>
          <cell r="J84" t="str">
            <v>A4変型版</v>
          </cell>
          <cell r="K84">
            <v>103</v>
          </cell>
          <cell r="L84">
            <v>1</v>
          </cell>
          <cell r="M84" t="str">
            <v>春</v>
          </cell>
          <cell r="N84">
            <v>40189</v>
          </cell>
          <cell r="O84">
            <v>40292</v>
          </cell>
          <cell r="P84">
            <v>104</v>
          </cell>
          <cell r="Q84" t="str">
            <v>35日前</v>
          </cell>
          <cell r="R84">
            <v>40154</v>
          </cell>
          <cell r="S84">
            <v>40296</v>
          </cell>
          <cell r="T84">
            <v>40171</v>
          </cell>
          <cell r="U84">
            <v>40327</v>
          </cell>
          <cell r="V84" t="str">
            <v>3400→4100</v>
          </cell>
          <cell r="W84">
            <v>4060</v>
          </cell>
          <cell r="X84">
            <v>1</v>
          </cell>
          <cell r="Y84">
            <v>1</v>
          </cell>
          <cell r="Z84" t="str">
            <v>無償</v>
          </cell>
          <cell r="AA84" t="str">
            <v>通常体系</v>
          </cell>
          <cell r="AB84" t="str">
            <v>○</v>
          </cell>
          <cell r="AE84" t="str">
            <v>35日前</v>
          </cell>
          <cell r="AF84">
            <v>40154</v>
          </cell>
          <cell r="AG84">
            <v>40296</v>
          </cell>
          <cell r="AH84">
            <v>40171</v>
          </cell>
          <cell r="AI84">
            <v>40327</v>
          </cell>
          <cell r="AJ84" t="str">
            <v>3400→4100</v>
          </cell>
          <cell r="AK84">
            <v>4060</v>
          </cell>
          <cell r="AL84">
            <v>1</v>
          </cell>
          <cell r="AM84">
            <v>1</v>
          </cell>
          <cell r="AN84" t="str">
            <v>無償</v>
          </cell>
          <cell r="AO84" t="str">
            <v>通常体系</v>
          </cell>
          <cell r="AP84" t="str">
            <v>○</v>
          </cell>
        </row>
        <row r="85">
          <cell r="H85" t="str">
            <v>0：通常</v>
          </cell>
          <cell r="I85">
            <v>0</v>
          </cell>
          <cell r="J85" t="str">
            <v>B4</v>
          </cell>
          <cell r="K85">
            <v>16</v>
          </cell>
          <cell r="L85">
            <v>1</v>
          </cell>
          <cell r="M85" t="str">
            <v>春</v>
          </cell>
          <cell r="N85">
            <v>40196</v>
          </cell>
          <cell r="O85">
            <v>40292</v>
          </cell>
          <cell r="P85">
            <v>97</v>
          </cell>
          <cell r="Q85" t="str">
            <v>35日前</v>
          </cell>
          <cell r="R85">
            <v>40161</v>
          </cell>
          <cell r="S85">
            <v>40296</v>
          </cell>
          <cell r="T85">
            <v>40178</v>
          </cell>
          <cell r="U85">
            <v>40327</v>
          </cell>
          <cell r="V85" t="str">
            <v>800→900</v>
          </cell>
          <cell r="W85">
            <v>885</v>
          </cell>
          <cell r="X85">
            <v>15</v>
          </cell>
          <cell r="Y85">
            <v>1</v>
          </cell>
          <cell r="Z85" t="str">
            <v>無償</v>
          </cell>
          <cell r="AA85" t="str">
            <v>通常体系</v>
          </cell>
          <cell r="AB85" t="str">
            <v>×</v>
          </cell>
          <cell r="AE85" t="str">
            <v>35日前</v>
          </cell>
          <cell r="AF85">
            <v>40161</v>
          </cell>
          <cell r="AG85">
            <v>40296</v>
          </cell>
          <cell r="AH85">
            <v>40178</v>
          </cell>
          <cell r="AI85">
            <v>40327</v>
          </cell>
          <cell r="AJ85" t="str">
            <v>800→900</v>
          </cell>
          <cell r="AK85">
            <v>885</v>
          </cell>
          <cell r="AL85">
            <v>2</v>
          </cell>
          <cell r="AM85">
            <v>1</v>
          </cell>
          <cell r="AN85" t="str">
            <v>無償</v>
          </cell>
          <cell r="AO85" t="str">
            <v>通常体系</v>
          </cell>
          <cell r="AP85" t="str">
            <v>×</v>
          </cell>
        </row>
        <row r="86">
          <cell r="H86" t="str">
            <v>0：通常</v>
          </cell>
          <cell r="I86">
            <v>0</v>
          </cell>
          <cell r="J86" t="str">
            <v>B4</v>
          </cell>
          <cell r="K86">
            <v>24</v>
          </cell>
          <cell r="L86">
            <v>1</v>
          </cell>
          <cell r="M86" t="str">
            <v>春</v>
          </cell>
          <cell r="N86">
            <v>40203</v>
          </cell>
          <cell r="O86">
            <v>40285</v>
          </cell>
          <cell r="P86">
            <v>83</v>
          </cell>
          <cell r="Q86" t="str">
            <v>35日前</v>
          </cell>
          <cell r="R86">
            <v>40168</v>
          </cell>
          <cell r="S86">
            <v>40289</v>
          </cell>
          <cell r="T86">
            <v>40185</v>
          </cell>
          <cell r="U86">
            <v>40320</v>
          </cell>
          <cell r="V86">
            <v>1300</v>
          </cell>
          <cell r="X86">
            <v>2</v>
          </cell>
          <cell r="Y86">
            <v>1</v>
          </cell>
          <cell r="Z86" t="str">
            <v>無償</v>
          </cell>
          <cell r="AA86" t="str">
            <v>通常体系</v>
          </cell>
          <cell r="AB86" t="str">
            <v>×</v>
          </cell>
          <cell r="AE86" t="str">
            <v>35日前</v>
          </cell>
          <cell r="AF86">
            <v>40168</v>
          </cell>
          <cell r="AG86">
            <v>40289</v>
          </cell>
          <cell r="AH86">
            <v>40185</v>
          </cell>
          <cell r="AI86">
            <v>40320</v>
          </cell>
          <cell r="AJ86">
            <v>1300</v>
          </cell>
          <cell r="AL86">
            <v>2</v>
          </cell>
          <cell r="AM86">
            <v>1</v>
          </cell>
          <cell r="AN86" t="str">
            <v>無償</v>
          </cell>
          <cell r="AO86" t="str">
            <v>通常体系</v>
          </cell>
          <cell r="AP86" t="str">
            <v>×</v>
          </cell>
        </row>
        <row r="87">
          <cell r="H87" t="str">
            <v>1：新枠</v>
          </cell>
          <cell r="I87">
            <v>1</v>
          </cell>
          <cell r="J87" t="str">
            <v>B4</v>
          </cell>
          <cell r="K87">
            <v>16</v>
          </cell>
          <cell r="L87">
            <v>1</v>
          </cell>
          <cell r="M87" t="str">
            <v>春</v>
          </cell>
          <cell r="N87">
            <v>40210</v>
          </cell>
          <cell r="O87">
            <v>40292</v>
          </cell>
          <cell r="P87">
            <v>83</v>
          </cell>
          <cell r="Q87" t="str">
            <v>35日前</v>
          </cell>
          <cell r="R87">
            <v>40175</v>
          </cell>
          <cell r="S87">
            <v>40296</v>
          </cell>
          <cell r="T87">
            <v>40192</v>
          </cell>
          <cell r="U87">
            <v>40327</v>
          </cell>
          <cell r="V87">
            <v>1000</v>
          </cell>
          <cell r="X87">
            <v>4</v>
          </cell>
          <cell r="Y87">
            <v>1</v>
          </cell>
          <cell r="Z87" t="str">
            <v>無償</v>
          </cell>
          <cell r="AA87" t="str">
            <v>通常体系</v>
          </cell>
          <cell r="AB87" t="str">
            <v>○</v>
          </cell>
          <cell r="AE87" t="str">
            <v>35日前</v>
          </cell>
          <cell r="AF87">
            <v>40175</v>
          </cell>
          <cell r="AG87">
            <v>40296</v>
          </cell>
          <cell r="AH87">
            <v>40192</v>
          </cell>
          <cell r="AI87">
            <v>40327</v>
          </cell>
          <cell r="AJ87">
            <v>1000</v>
          </cell>
          <cell r="AL87">
            <v>4</v>
          </cell>
          <cell r="AM87">
            <v>1</v>
          </cell>
          <cell r="AN87" t="str">
            <v>無償</v>
          </cell>
          <cell r="AO87" t="str">
            <v>通常体系</v>
          </cell>
          <cell r="AP87" t="str">
            <v>○</v>
          </cell>
        </row>
        <row r="88">
          <cell r="H88" t="str">
            <v>0：通常</v>
          </cell>
          <cell r="I88">
            <v>0</v>
          </cell>
          <cell r="J88" t="str">
            <v>B4</v>
          </cell>
          <cell r="K88">
            <v>16</v>
          </cell>
          <cell r="L88">
            <v>1</v>
          </cell>
          <cell r="M88" t="str">
            <v>春</v>
          </cell>
          <cell r="N88">
            <v>40210</v>
          </cell>
          <cell r="O88">
            <v>40299</v>
          </cell>
          <cell r="P88">
            <v>90</v>
          </cell>
          <cell r="Q88" t="str">
            <v>35日前</v>
          </cell>
          <cell r="R88">
            <v>40175</v>
          </cell>
          <cell r="S88">
            <v>40303</v>
          </cell>
          <cell r="T88">
            <v>40192</v>
          </cell>
          <cell r="U88">
            <v>40334</v>
          </cell>
          <cell r="V88">
            <v>1300</v>
          </cell>
          <cell r="X88">
            <v>4</v>
          </cell>
          <cell r="Y88">
            <v>1</v>
          </cell>
          <cell r="Z88" t="str">
            <v>無償</v>
          </cell>
          <cell r="AA88" t="str">
            <v>通常体系</v>
          </cell>
          <cell r="AB88" t="str">
            <v>○</v>
          </cell>
          <cell r="AE88" t="str">
            <v>35日前</v>
          </cell>
          <cell r="AF88">
            <v>40175</v>
          </cell>
          <cell r="AG88">
            <v>40303</v>
          </cell>
          <cell r="AH88">
            <v>40192</v>
          </cell>
          <cell r="AI88">
            <v>40334</v>
          </cell>
          <cell r="AJ88">
            <v>1300</v>
          </cell>
          <cell r="AL88">
            <v>4</v>
          </cell>
          <cell r="AM88">
            <v>1</v>
          </cell>
          <cell r="AN88" t="str">
            <v>無償</v>
          </cell>
          <cell r="AO88" t="str">
            <v>通常体系</v>
          </cell>
          <cell r="AP88" t="str">
            <v>○</v>
          </cell>
        </row>
        <row r="89">
          <cell r="H89" t="str">
            <v>1：新枠</v>
          </cell>
          <cell r="I89">
            <v>1</v>
          </cell>
          <cell r="J89" t="str">
            <v>B4</v>
          </cell>
          <cell r="K89">
            <v>16</v>
          </cell>
          <cell r="L89">
            <v>1</v>
          </cell>
          <cell r="M89" t="str">
            <v>春</v>
          </cell>
          <cell r="N89">
            <v>40217</v>
          </cell>
          <cell r="O89">
            <v>40292</v>
          </cell>
          <cell r="P89">
            <v>76</v>
          </cell>
          <cell r="Q89" t="str">
            <v>35日前</v>
          </cell>
          <cell r="R89">
            <v>40182</v>
          </cell>
          <cell r="S89">
            <v>40296</v>
          </cell>
          <cell r="T89">
            <v>40199</v>
          </cell>
          <cell r="U89">
            <v>40327</v>
          </cell>
          <cell r="V89" t="str">
            <v>900→1000</v>
          </cell>
          <cell r="W89">
            <v>941</v>
          </cell>
          <cell r="X89">
            <v>2</v>
          </cell>
          <cell r="Y89">
            <v>1</v>
          </cell>
          <cell r="Z89" t="str">
            <v>無償</v>
          </cell>
          <cell r="AA89" t="str">
            <v>通常体系</v>
          </cell>
          <cell r="AB89" t="str">
            <v>×</v>
          </cell>
          <cell r="AE89" t="str">
            <v>35日前</v>
          </cell>
          <cell r="AF89">
            <v>40182</v>
          </cell>
          <cell r="AG89">
            <v>40296</v>
          </cell>
          <cell r="AH89">
            <v>40199</v>
          </cell>
          <cell r="AI89">
            <v>40327</v>
          </cell>
          <cell r="AJ89" t="str">
            <v>900→1000</v>
          </cell>
          <cell r="AK89">
            <v>941</v>
          </cell>
          <cell r="AL89">
            <v>2</v>
          </cell>
          <cell r="AM89">
            <v>1</v>
          </cell>
          <cell r="AN89" t="str">
            <v>無償</v>
          </cell>
          <cell r="AO89" t="str">
            <v>通常体系</v>
          </cell>
          <cell r="AP89" t="str">
            <v>×</v>
          </cell>
        </row>
        <row r="90">
          <cell r="H90" t="str">
            <v>1：新枠</v>
          </cell>
          <cell r="I90">
            <v>1</v>
          </cell>
          <cell r="J90" t="str">
            <v>B4</v>
          </cell>
          <cell r="K90">
            <v>8</v>
          </cell>
          <cell r="L90">
            <v>1</v>
          </cell>
          <cell r="M90" t="str">
            <v>春</v>
          </cell>
          <cell r="N90">
            <v>40217</v>
          </cell>
          <cell r="O90">
            <v>40299</v>
          </cell>
          <cell r="P90">
            <v>83</v>
          </cell>
          <cell r="Q90" t="str">
            <v>35日前</v>
          </cell>
          <cell r="R90">
            <v>40182</v>
          </cell>
          <cell r="S90">
            <v>40303</v>
          </cell>
          <cell r="T90">
            <v>40199</v>
          </cell>
          <cell r="U90">
            <v>40334</v>
          </cell>
          <cell r="V90">
            <v>400</v>
          </cell>
          <cell r="X90">
            <v>15</v>
          </cell>
          <cell r="Y90">
            <v>1</v>
          </cell>
          <cell r="Z90" t="str">
            <v>無償</v>
          </cell>
          <cell r="AA90" t="str">
            <v>通常体系</v>
          </cell>
          <cell r="AB90" t="str">
            <v>×</v>
          </cell>
          <cell r="AE90" t="str">
            <v>35日前</v>
          </cell>
          <cell r="AF90">
            <v>40182</v>
          </cell>
          <cell r="AG90">
            <v>40303</v>
          </cell>
          <cell r="AH90">
            <v>40199</v>
          </cell>
          <cell r="AI90">
            <v>40334</v>
          </cell>
          <cell r="AJ90">
            <v>400</v>
          </cell>
          <cell r="AL90">
            <v>15</v>
          </cell>
          <cell r="AM90">
            <v>1</v>
          </cell>
          <cell r="AN90" t="str">
            <v>無償</v>
          </cell>
          <cell r="AO90" t="str">
            <v>通常体系</v>
          </cell>
          <cell r="AP90" t="str">
            <v>×</v>
          </cell>
        </row>
        <row r="91">
          <cell r="H91" t="str">
            <v>0：通常</v>
          </cell>
          <cell r="I91">
            <v>0</v>
          </cell>
          <cell r="J91" t="str">
            <v>B4</v>
          </cell>
          <cell r="K91">
            <v>16</v>
          </cell>
          <cell r="L91">
            <v>1</v>
          </cell>
          <cell r="M91" t="str">
            <v>春</v>
          </cell>
          <cell r="N91">
            <v>40231</v>
          </cell>
          <cell r="O91">
            <v>40299</v>
          </cell>
          <cell r="P91">
            <v>69</v>
          </cell>
          <cell r="Q91" t="str">
            <v>35日前</v>
          </cell>
          <cell r="R91">
            <v>40196</v>
          </cell>
          <cell r="S91">
            <v>40303</v>
          </cell>
          <cell r="T91">
            <v>40213</v>
          </cell>
          <cell r="U91">
            <v>40334</v>
          </cell>
          <cell r="V91">
            <v>500</v>
          </cell>
          <cell r="X91">
            <v>21</v>
          </cell>
          <cell r="Y91">
            <v>1</v>
          </cell>
          <cell r="Z91" t="str">
            <v>無償</v>
          </cell>
          <cell r="AA91" t="str">
            <v>通常体系</v>
          </cell>
          <cell r="AB91" t="str">
            <v>×</v>
          </cell>
          <cell r="AE91" t="str">
            <v>35日前</v>
          </cell>
          <cell r="AF91">
            <v>40196</v>
          </cell>
          <cell r="AG91">
            <v>40303</v>
          </cell>
          <cell r="AH91">
            <v>40213</v>
          </cell>
          <cell r="AI91">
            <v>40334</v>
          </cell>
          <cell r="AJ91">
            <v>500</v>
          </cell>
          <cell r="AL91">
            <v>21</v>
          </cell>
          <cell r="AM91">
            <v>1</v>
          </cell>
          <cell r="AN91" t="str">
            <v>無償</v>
          </cell>
          <cell r="AO91" t="str">
            <v>通常体系</v>
          </cell>
          <cell r="AP91" t="str">
            <v>×</v>
          </cell>
        </row>
        <row r="92">
          <cell r="R92">
            <v>1</v>
          </cell>
          <cell r="T92">
            <v>0</v>
          </cell>
          <cell r="AE92" t="str">
            <v>35日前</v>
          </cell>
          <cell r="AM92">
            <v>1</v>
          </cell>
          <cell r="AN92" t="str">
            <v>無償</v>
          </cell>
          <cell r="AO92" t="str">
            <v>通常体系</v>
          </cell>
        </row>
        <row r="93">
          <cell r="R93">
            <v>1</v>
          </cell>
          <cell r="T93">
            <v>0</v>
          </cell>
          <cell r="AE93" t="str">
            <v>35日前</v>
          </cell>
          <cell r="AM93">
            <v>1</v>
          </cell>
          <cell r="AN93" t="str">
            <v>無償</v>
          </cell>
          <cell r="AO93" t="str">
            <v>通常体系</v>
          </cell>
        </row>
        <row r="94">
          <cell r="R94">
            <v>1</v>
          </cell>
          <cell r="AE94" t="str">
            <v>35日前</v>
          </cell>
          <cell r="AM94">
            <v>1</v>
          </cell>
          <cell r="AN94" t="str">
            <v>無償</v>
          </cell>
          <cell r="AO94" t="str">
            <v>通常体系</v>
          </cell>
        </row>
        <row r="95">
          <cell r="R95">
            <v>1</v>
          </cell>
          <cell r="AE95" t="str">
            <v>35日前</v>
          </cell>
          <cell r="AM95">
            <v>1</v>
          </cell>
          <cell r="AN95" t="str">
            <v>無償</v>
          </cell>
          <cell r="AO95" t="str">
            <v>通常体系</v>
          </cell>
        </row>
        <row r="96">
          <cell r="R96">
            <v>1</v>
          </cell>
          <cell r="AE96" t="str">
            <v>35日前</v>
          </cell>
          <cell r="AM96">
            <v>1</v>
          </cell>
          <cell r="AN96" t="str">
            <v>無償</v>
          </cell>
          <cell r="AO96" t="str">
            <v>通常体系</v>
          </cell>
        </row>
        <row r="97">
          <cell r="R97">
            <v>1</v>
          </cell>
          <cell r="AE97" t="str">
            <v>35日前</v>
          </cell>
          <cell r="AM97">
            <v>1</v>
          </cell>
          <cell r="AN97" t="str">
            <v>無償</v>
          </cell>
          <cell r="AO97" t="str">
            <v>通常体系</v>
          </cell>
        </row>
        <row r="98">
          <cell r="R98">
            <v>1</v>
          </cell>
          <cell r="AE98" t="str">
            <v>35日前</v>
          </cell>
          <cell r="AM98">
            <v>1</v>
          </cell>
          <cell r="AN98" t="str">
            <v>無償</v>
          </cell>
          <cell r="AO98" t="str">
            <v>通常体系</v>
          </cell>
        </row>
        <row r="99">
          <cell r="R99">
            <v>1</v>
          </cell>
          <cell r="S99" t="str">
            <v>35日前</v>
          </cell>
          <cell r="T99">
            <v>39804</v>
          </cell>
          <cell r="U99">
            <v>39925</v>
          </cell>
          <cell r="V99">
            <v>39821</v>
          </cell>
          <cell r="W99">
            <v>39956</v>
          </cell>
          <cell r="X99" t="str">
            <v>300→500</v>
          </cell>
          <cell r="Z99">
            <v>21</v>
          </cell>
          <cell r="AA99">
            <v>49</v>
          </cell>
          <cell r="AB99" t="str">
            <v>無償</v>
          </cell>
          <cell r="AC99" t="str">
            <v>通常体系</v>
          </cell>
          <cell r="AE99" t="str">
            <v>35日前</v>
          </cell>
          <cell r="AM99">
            <v>1</v>
          </cell>
          <cell r="AN99" t="str">
            <v>無償</v>
          </cell>
          <cell r="AO99" t="str">
            <v>通常体系</v>
          </cell>
        </row>
        <row r="100">
          <cell r="R100">
            <v>1</v>
          </cell>
          <cell r="S100" t="str">
            <v>35日前</v>
          </cell>
          <cell r="T100">
            <v>39804</v>
          </cell>
          <cell r="U100">
            <v>39925</v>
          </cell>
          <cell r="V100">
            <v>39821</v>
          </cell>
          <cell r="W100">
            <v>39956</v>
          </cell>
          <cell r="X100" t="str">
            <v>300→500</v>
          </cell>
          <cell r="Z100">
            <v>21</v>
          </cell>
          <cell r="AA100">
            <v>49</v>
          </cell>
          <cell r="AB100" t="str">
            <v>無償</v>
          </cell>
          <cell r="AC100" t="str">
            <v>通常体系</v>
          </cell>
          <cell r="AE100" t="str">
            <v>35日前</v>
          </cell>
          <cell r="AM100">
            <v>1</v>
          </cell>
          <cell r="AN100" t="str">
            <v>無償</v>
          </cell>
          <cell r="AO100" t="str">
            <v>通常体系</v>
          </cell>
        </row>
        <row r="101">
          <cell r="R101">
            <v>1</v>
          </cell>
          <cell r="T101">
            <v>0</v>
          </cell>
          <cell r="AE101" t="str">
            <v>35日前</v>
          </cell>
          <cell r="AM101">
            <v>1</v>
          </cell>
          <cell r="AN101" t="str">
            <v>無償</v>
          </cell>
          <cell r="AO101" t="str">
            <v>通常体系</v>
          </cell>
        </row>
        <row r="102">
          <cell r="R102">
            <v>1</v>
          </cell>
          <cell r="T102">
            <v>0</v>
          </cell>
          <cell r="AE102" t="str">
            <v>35日前</v>
          </cell>
          <cell r="AM102">
            <v>1</v>
          </cell>
          <cell r="AN102" t="str">
            <v>無償</v>
          </cell>
          <cell r="AO102" t="str">
            <v>通常体系</v>
          </cell>
        </row>
        <row r="103">
          <cell r="R103">
            <v>1</v>
          </cell>
          <cell r="T103">
            <v>0</v>
          </cell>
          <cell r="AE103" t="str">
            <v>35日前</v>
          </cell>
          <cell r="AM103">
            <v>1</v>
          </cell>
          <cell r="AN103" t="str">
            <v>無償</v>
          </cell>
          <cell r="AO103" t="str">
            <v>通常体系</v>
          </cell>
        </row>
        <row r="104">
          <cell r="R104">
            <v>1</v>
          </cell>
          <cell r="T104">
            <v>0</v>
          </cell>
          <cell r="AE104" t="str">
            <v>35日前</v>
          </cell>
          <cell r="AM104">
            <v>1</v>
          </cell>
          <cell r="AN104" t="str">
            <v>無償</v>
          </cell>
          <cell r="AO104" t="str">
            <v>通常体系</v>
          </cell>
        </row>
        <row r="105">
          <cell r="R105">
            <v>1</v>
          </cell>
          <cell r="AE105" t="str">
            <v>35日前</v>
          </cell>
          <cell r="AM105">
            <v>1</v>
          </cell>
          <cell r="AN105" t="str">
            <v>無償</v>
          </cell>
          <cell r="AO105" t="str">
            <v>通常体系</v>
          </cell>
        </row>
        <row r="106">
          <cell r="R106">
            <v>1</v>
          </cell>
          <cell r="T106">
            <v>0</v>
          </cell>
          <cell r="AE106" t="str">
            <v>35日前</v>
          </cell>
          <cell r="AM106">
            <v>1</v>
          </cell>
          <cell r="AN106" t="str">
            <v>無償</v>
          </cell>
          <cell r="AO106" t="str">
            <v>通常体系</v>
          </cell>
        </row>
        <row r="107">
          <cell r="R107">
            <v>1</v>
          </cell>
          <cell r="T107">
            <v>0</v>
          </cell>
          <cell r="AE107" t="str">
            <v>35日前</v>
          </cell>
          <cell r="AM107">
            <v>1</v>
          </cell>
          <cell r="AN107" t="str">
            <v>無償</v>
          </cell>
          <cell r="AO107" t="str">
            <v>通常体系</v>
          </cell>
        </row>
        <row r="108">
          <cell r="R108">
            <v>1</v>
          </cell>
          <cell r="T108">
            <v>0</v>
          </cell>
          <cell r="AE108" t="str">
            <v>35日前</v>
          </cell>
          <cell r="AM108">
            <v>1</v>
          </cell>
          <cell r="AN108" t="str">
            <v>無償</v>
          </cell>
          <cell r="AO108" t="str">
            <v>通常体系</v>
          </cell>
        </row>
        <row r="109">
          <cell r="R109">
            <v>1</v>
          </cell>
          <cell r="T109">
            <v>0</v>
          </cell>
          <cell r="AE109" t="str">
            <v>35日前</v>
          </cell>
          <cell r="AM109">
            <v>1</v>
          </cell>
          <cell r="AN109" t="str">
            <v>無償</v>
          </cell>
          <cell r="AO109" t="str">
            <v>通常体系</v>
          </cell>
        </row>
        <row r="110">
          <cell r="R110">
            <v>1</v>
          </cell>
          <cell r="T110">
            <v>0</v>
          </cell>
          <cell r="AE110" t="str">
            <v>35日前</v>
          </cell>
          <cell r="AM110">
            <v>1</v>
          </cell>
          <cell r="AN110" t="str">
            <v>無償</v>
          </cell>
          <cell r="AO110" t="str">
            <v>通常体系</v>
          </cell>
        </row>
        <row r="111">
          <cell r="R111">
            <v>1</v>
          </cell>
          <cell r="T111">
            <v>0</v>
          </cell>
          <cell r="AE111" t="str">
            <v>35日前</v>
          </cell>
          <cell r="AM111">
            <v>1</v>
          </cell>
          <cell r="AN111" t="str">
            <v>無償</v>
          </cell>
          <cell r="AO111" t="str">
            <v>通常体系</v>
          </cell>
        </row>
      </sheetData>
      <sheetData sheetId="2">
        <row r="3">
          <cell r="H3" t="str">
            <v>ｶﾀﾛｸﾞ部号番号</v>
          </cell>
        </row>
      </sheetData>
      <sheetData sheetId="3" refreshError="1">
        <row r="3">
          <cell r="Q3" t="str">
            <v>マスター項目</v>
          </cell>
          <cell r="T3">
            <v>0.05</v>
          </cell>
          <cell r="V3" t="str">
            <v>営業情報</v>
          </cell>
          <cell r="W3" t="str">
            <v>業</v>
          </cell>
          <cell r="X3" t="str">
            <v>情</v>
          </cell>
          <cell r="Y3" t="str">
            <v>報</v>
          </cell>
          <cell r="AC3" t="str">
            <v>マスター管理項目</v>
          </cell>
          <cell r="AD3" t="str">
            <v>再編集媒体区分</v>
          </cell>
          <cell r="AG3" t="str">
            <v>マ　ス　ター</v>
          </cell>
          <cell r="AH3" t="str">
            <v>管　理</v>
          </cell>
          <cell r="AI3" t="str">
            <v>項　目</v>
          </cell>
          <cell r="AR3" t="str">
            <v>再編集媒体区分</v>
          </cell>
        </row>
        <row r="4">
          <cell r="H4" t="str">
            <v>号番号</v>
          </cell>
          <cell r="I4" t="str">
            <v>申込番号枠</v>
          </cell>
          <cell r="J4" t="str">
            <v>版型</v>
          </cell>
          <cell r="K4" t="str">
            <v>同梱は○</v>
          </cell>
          <cell r="L4" t="str">
            <v>同梱記号</v>
          </cell>
          <cell r="M4" t="str">
            <v>冊子頁数</v>
          </cell>
          <cell r="N4" t="str">
            <v>売場頁数</v>
          </cell>
          <cell r="O4" t="str">
            <v>シーズン名</v>
          </cell>
          <cell r="P4" t="str">
            <v>ﾏｽﾀ展開開始日</v>
          </cell>
          <cell r="Q4" t="str">
            <v>展開終了日</v>
          </cell>
          <cell r="R4" t="str">
            <v>当初計画部数</v>
          </cell>
          <cell r="S4" t="str">
            <v>実配布部数</v>
          </cell>
          <cell r="T4" t="str">
            <v>総部数</v>
          </cell>
          <cell r="U4" t="str">
            <v>東北北海道  A</v>
          </cell>
          <cell r="V4" t="str">
            <v xml:space="preserve">首都圏          B </v>
          </cell>
          <cell r="W4" t="str">
            <v>信越北陸山陰C</v>
          </cell>
          <cell r="X4" t="str">
            <v>東海近畿    D</v>
          </cell>
          <cell r="Y4" t="str">
            <v>山陽北九州    E</v>
          </cell>
          <cell r="Z4" t="str">
            <v>南九州四国   F</v>
          </cell>
          <cell r="AA4" t="str">
            <v>マスター登録日（CATS登録日）</v>
          </cell>
          <cell r="AB4" t="str">
            <v>実終了日（展開終了日+3営業日）</v>
          </cell>
          <cell r="AC4" t="str">
            <v>マスター削除日</v>
          </cell>
          <cell r="AD4" t="str">
            <v>ＳＫＵ総枠</v>
          </cell>
          <cell r="AE4" t="str">
            <v>実ＳＫＵ数</v>
          </cell>
          <cell r="AF4" t="str">
            <v>媒体分類</v>
          </cell>
          <cell r="AG4" t="str">
            <v>BOOK代区分</v>
          </cell>
          <cell r="AH4" t="str">
            <v>有償/無償</v>
          </cell>
          <cell r="AI4" t="str">
            <v>会員GPR</v>
          </cell>
          <cell r="AJ4" t="str">
            <v>誌面媒体名(くらしと生協 媒体名 ２００４ 号名の構成）</v>
          </cell>
          <cell r="AK4" t="str">
            <v>SKU運用枠(実SKU）</v>
          </cell>
          <cell r="AL4" t="str">
            <v>媒体分類</v>
          </cell>
          <cell r="AM4" t="str">
            <v>BOOK代区分</v>
          </cell>
          <cell r="AN4" t="str">
            <v>有償/無償</v>
          </cell>
          <cell r="AO4" t="str">
            <v>表4のみ（号番号）</v>
          </cell>
          <cell r="AP4" t="str">
            <v>再編集媒体区分</v>
          </cell>
          <cell r="AQ4" t="str">
            <v>クリアランス抽選日</v>
          </cell>
          <cell r="AR4" t="str">
            <v>カタログ表示上の　受注終了日</v>
          </cell>
          <cell r="AS4" t="str">
            <v>備考</v>
          </cell>
          <cell r="AT4" t="str">
            <v>インターネットの有無</v>
          </cell>
        </row>
        <row r="5">
          <cell r="H5">
            <v>345</v>
          </cell>
          <cell r="I5" t="str">
            <v>+1</v>
          </cell>
          <cell r="J5" t="str">
            <v>Ｂ４</v>
          </cell>
          <cell r="K5">
            <v>24</v>
          </cell>
          <cell r="L5">
            <v>2</v>
          </cell>
          <cell r="M5">
            <v>8</v>
          </cell>
          <cell r="N5">
            <v>39881</v>
          </cell>
          <cell r="O5" t="str">
            <v>夏</v>
          </cell>
          <cell r="P5">
            <v>39923</v>
          </cell>
          <cell r="Q5">
            <v>39942</v>
          </cell>
          <cell r="R5">
            <v>39846</v>
          </cell>
          <cell r="S5">
            <v>39981</v>
          </cell>
          <cell r="T5">
            <v>39863</v>
          </cell>
          <cell r="U5">
            <v>40012</v>
          </cell>
          <cell r="V5">
            <v>1000</v>
          </cell>
          <cell r="W5">
            <v>819</v>
          </cell>
          <cell r="X5">
            <v>2</v>
          </cell>
          <cell r="Y5">
            <v>1</v>
          </cell>
          <cell r="Z5" t="str">
            <v>無償</v>
          </cell>
          <cell r="AA5">
            <v>39895</v>
          </cell>
          <cell r="AB5">
            <v>39946</v>
          </cell>
          <cell r="AC5">
            <v>39977</v>
          </cell>
          <cell r="AD5">
            <v>700</v>
          </cell>
          <cell r="AE5" t="str">
            <v>35日前</v>
          </cell>
          <cell r="AF5" t="str">
            <v>20：抽選</v>
          </cell>
          <cell r="AG5">
            <v>1</v>
          </cell>
          <cell r="AH5" t="str">
            <v>無償</v>
          </cell>
          <cell r="AI5" t="str">
            <v>ブック代込み</v>
          </cell>
          <cell r="AJ5">
            <v>1000</v>
          </cell>
          <cell r="AK5">
            <v>819</v>
          </cell>
          <cell r="AL5">
            <v>2</v>
          </cell>
          <cell r="AM5">
            <v>1</v>
          </cell>
          <cell r="AN5" t="str">
            <v>無償</v>
          </cell>
          <cell r="AO5" t="str">
            <v>通常体系</v>
          </cell>
          <cell r="AP5" t="str">
            <v>再編集媒体区分</v>
          </cell>
          <cell r="AQ5">
            <v>39938</v>
          </cell>
          <cell r="AR5">
            <v>39935</v>
          </cell>
        </row>
        <row r="6">
          <cell r="H6">
            <v>346</v>
          </cell>
          <cell r="I6" t="str">
            <v>+1</v>
          </cell>
          <cell r="J6" t="str">
            <v>Ｂ４</v>
          </cell>
          <cell r="K6">
            <v>16</v>
          </cell>
          <cell r="L6">
            <v>2</v>
          </cell>
          <cell r="M6">
            <v>8</v>
          </cell>
          <cell r="N6">
            <v>39888</v>
          </cell>
          <cell r="O6" t="str">
            <v>盛夏</v>
          </cell>
          <cell r="P6">
            <v>39993</v>
          </cell>
          <cell r="Q6">
            <v>40012</v>
          </cell>
          <cell r="R6">
            <v>39853</v>
          </cell>
          <cell r="S6">
            <v>39995</v>
          </cell>
          <cell r="T6">
            <v>39870</v>
          </cell>
          <cell r="U6">
            <v>40026</v>
          </cell>
          <cell r="V6">
            <v>1000</v>
          </cell>
          <cell r="W6">
            <v>946</v>
          </cell>
          <cell r="X6">
            <v>25</v>
          </cell>
          <cell r="Y6">
            <v>1</v>
          </cell>
          <cell r="Z6" t="str">
            <v>無償</v>
          </cell>
          <cell r="AA6">
            <v>39965</v>
          </cell>
          <cell r="AB6">
            <v>40016</v>
          </cell>
          <cell r="AC6">
            <v>40047</v>
          </cell>
          <cell r="AD6">
            <v>700</v>
          </cell>
          <cell r="AE6" t="str">
            <v>35日前</v>
          </cell>
          <cell r="AF6" t="str">
            <v>20：抽選</v>
          </cell>
          <cell r="AG6">
            <v>1</v>
          </cell>
          <cell r="AH6" t="str">
            <v>無償</v>
          </cell>
          <cell r="AI6" t="str">
            <v>ブック代込み</v>
          </cell>
          <cell r="AJ6">
            <v>1000</v>
          </cell>
          <cell r="AK6">
            <v>946</v>
          </cell>
          <cell r="AL6">
            <v>25</v>
          </cell>
          <cell r="AM6">
            <v>1</v>
          </cell>
          <cell r="AN6" t="str">
            <v>無償</v>
          </cell>
          <cell r="AO6" t="str">
            <v>通常体系</v>
          </cell>
          <cell r="AP6" t="str">
            <v>再編集媒体区分</v>
          </cell>
          <cell r="AQ6">
            <v>40008</v>
          </cell>
          <cell r="AR6">
            <v>40005</v>
          </cell>
        </row>
        <row r="7">
          <cell r="H7">
            <v>347</v>
          </cell>
          <cell r="I7" t="str">
            <v>+1</v>
          </cell>
          <cell r="J7" t="str">
            <v>Ｂ４</v>
          </cell>
          <cell r="K7">
            <v>16</v>
          </cell>
          <cell r="L7">
            <v>2</v>
          </cell>
          <cell r="M7">
            <v>8</v>
          </cell>
          <cell r="N7">
            <v>39888</v>
          </cell>
          <cell r="O7" t="str">
            <v>秋</v>
          </cell>
          <cell r="P7">
            <v>40112</v>
          </cell>
          <cell r="Q7">
            <v>40131</v>
          </cell>
          <cell r="R7">
            <v>39853</v>
          </cell>
          <cell r="S7">
            <v>39988</v>
          </cell>
          <cell r="T7">
            <v>39870</v>
          </cell>
          <cell r="U7">
            <v>40019</v>
          </cell>
          <cell r="V7">
            <v>900</v>
          </cell>
          <cell r="W7">
            <v>834</v>
          </cell>
          <cell r="X7">
            <v>19</v>
          </cell>
          <cell r="Y7">
            <v>1</v>
          </cell>
          <cell r="Z7" t="str">
            <v>無償</v>
          </cell>
          <cell r="AA7">
            <v>40084</v>
          </cell>
          <cell r="AB7">
            <v>40135</v>
          </cell>
          <cell r="AC7">
            <v>40166</v>
          </cell>
          <cell r="AD7">
            <v>700</v>
          </cell>
          <cell r="AE7">
            <v>575</v>
          </cell>
          <cell r="AF7" t="str">
            <v>20：抽選</v>
          </cell>
          <cell r="AG7">
            <v>1</v>
          </cell>
          <cell r="AH7" t="str">
            <v>無償</v>
          </cell>
          <cell r="AI7" t="str">
            <v>ブック代込み</v>
          </cell>
          <cell r="AJ7">
            <v>900</v>
          </cell>
          <cell r="AK7">
            <v>834</v>
          </cell>
          <cell r="AL7">
            <v>19</v>
          </cell>
          <cell r="AM7">
            <v>1</v>
          </cell>
          <cell r="AN7" t="str">
            <v>無償</v>
          </cell>
          <cell r="AO7" t="str">
            <v>通常体系</v>
          </cell>
          <cell r="AP7" t="str">
            <v>再編集媒体区分</v>
          </cell>
          <cell r="AQ7">
            <v>40127</v>
          </cell>
          <cell r="AR7">
            <v>40124</v>
          </cell>
        </row>
        <row r="8">
          <cell r="H8">
            <v>348</v>
          </cell>
          <cell r="I8" t="str">
            <v>+1</v>
          </cell>
          <cell r="J8" t="str">
            <v>Ｂ４</v>
          </cell>
          <cell r="K8">
            <v>16</v>
          </cell>
          <cell r="L8">
            <v>2</v>
          </cell>
          <cell r="M8">
            <v>8</v>
          </cell>
          <cell r="N8">
            <v>39888</v>
          </cell>
          <cell r="O8" t="str">
            <v>新春</v>
          </cell>
          <cell r="P8">
            <v>40196</v>
          </cell>
          <cell r="Q8">
            <v>40215</v>
          </cell>
          <cell r="R8">
            <v>39853</v>
          </cell>
          <cell r="S8">
            <v>39967</v>
          </cell>
          <cell r="T8">
            <v>39870</v>
          </cell>
          <cell r="U8">
            <v>39998</v>
          </cell>
          <cell r="V8">
            <v>500</v>
          </cell>
          <cell r="W8">
            <v>411</v>
          </cell>
          <cell r="X8">
            <v>19</v>
          </cell>
          <cell r="Y8">
            <v>1</v>
          </cell>
          <cell r="Z8" t="str">
            <v>無償</v>
          </cell>
          <cell r="AA8">
            <v>40168</v>
          </cell>
          <cell r="AB8">
            <v>40219</v>
          </cell>
          <cell r="AC8">
            <v>40250</v>
          </cell>
          <cell r="AD8">
            <v>700</v>
          </cell>
          <cell r="AE8">
            <v>750</v>
          </cell>
          <cell r="AF8" t="str">
            <v>20：抽選</v>
          </cell>
          <cell r="AG8">
            <v>1</v>
          </cell>
          <cell r="AH8" t="str">
            <v>無償</v>
          </cell>
          <cell r="AI8" t="str">
            <v>ブック代込み</v>
          </cell>
          <cell r="AJ8">
            <v>500</v>
          </cell>
          <cell r="AK8">
            <v>411</v>
          </cell>
          <cell r="AL8">
            <v>19</v>
          </cell>
          <cell r="AM8">
            <v>1</v>
          </cell>
          <cell r="AN8" t="str">
            <v>無償</v>
          </cell>
          <cell r="AO8" t="str">
            <v>通常体系</v>
          </cell>
          <cell r="AP8" t="str">
            <v>再編集媒体区分</v>
          </cell>
          <cell r="AQ8">
            <v>40211</v>
          </cell>
          <cell r="AR8">
            <v>40208</v>
          </cell>
        </row>
        <row r="9">
          <cell r="H9">
            <v>349</v>
          </cell>
          <cell r="I9" t="str">
            <v>+1</v>
          </cell>
          <cell r="J9" t="str">
            <v>Ｂ４</v>
          </cell>
          <cell r="K9">
            <v>16</v>
          </cell>
          <cell r="L9">
            <v>2</v>
          </cell>
          <cell r="M9">
            <v>8</v>
          </cell>
          <cell r="N9">
            <v>39895</v>
          </cell>
          <cell r="O9" t="str">
            <v>春</v>
          </cell>
          <cell r="P9">
            <v>40224</v>
          </cell>
          <cell r="Q9">
            <v>40243</v>
          </cell>
          <cell r="R9">
            <v>39860</v>
          </cell>
          <cell r="S9">
            <v>40002</v>
          </cell>
          <cell r="T9">
            <v>39877</v>
          </cell>
          <cell r="U9">
            <v>40033</v>
          </cell>
          <cell r="V9">
            <v>1300</v>
          </cell>
          <cell r="W9">
            <v>1255</v>
          </cell>
          <cell r="X9">
            <v>4</v>
          </cell>
          <cell r="Y9">
            <v>1</v>
          </cell>
          <cell r="Z9" t="str">
            <v>無償</v>
          </cell>
          <cell r="AA9">
            <v>40196</v>
          </cell>
          <cell r="AB9">
            <v>40247</v>
          </cell>
          <cell r="AC9">
            <v>40278</v>
          </cell>
          <cell r="AD9">
            <v>700</v>
          </cell>
          <cell r="AE9" t="str">
            <v>35日前</v>
          </cell>
          <cell r="AF9" t="str">
            <v>20：抽選</v>
          </cell>
          <cell r="AG9">
            <v>1</v>
          </cell>
          <cell r="AH9" t="str">
            <v>無償</v>
          </cell>
          <cell r="AI9" t="str">
            <v>ブック代込み</v>
          </cell>
          <cell r="AJ9">
            <v>1300</v>
          </cell>
          <cell r="AK9">
            <v>1255</v>
          </cell>
          <cell r="AL9">
            <v>4</v>
          </cell>
          <cell r="AM9">
            <v>1</v>
          </cell>
          <cell r="AN9" t="str">
            <v>無償</v>
          </cell>
          <cell r="AO9" t="str">
            <v>通常体系</v>
          </cell>
          <cell r="AP9" t="str">
            <v>再編集媒体区分</v>
          </cell>
          <cell r="AQ9">
            <v>40239</v>
          </cell>
          <cell r="AR9">
            <v>40236</v>
          </cell>
        </row>
        <row r="10">
          <cell r="H10">
            <v>339</v>
          </cell>
          <cell r="I10" t="str">
            <v>+8</v>
          </cell>
          <cell r="J10" t="str">
            <v>Ｂ４</v>
          </cell>
          <cell r="K10">
            <v>8</v>
          </cell>
          <cell r="L10">
            <v>2</v>
          </cell>
          <cell r="M10">
            <v>8</v>
          </cell>
          <cell r="N10">
            <v>39902</v>
          </cell>
          <cell r="O10" t="str">
            <v>盛夏</v>
          </cell>
          <cell r="P10">
            <v>40021</v>
          </cell>
          <cell r="Q10">
            <v>40040</v>
          </cell>
          <cell r="R10">
            <v>39867</v>
          </cell>
          <cell r="S10">
            <v>40107</v>
          </cell>
          <cell r="T10">
            <v>39884</v>
          </cell>
          <cell r="U10">
            <v>40138</v>
          </cell>
          <cell r="V10">
            <v>300</v>
          </cell>
          <cell r="W10">
            <v>234</v>
          </cell>
          <cell r="X10">
            <v>99</v>
          </cell>
          <cell r="Y10">
            <v>1</v>
          </cell>
          <cell r="Z10" t="str">
            <v>無償</v>
          </cell>
          <cell r="AA10">
            <v>39993</v>
          </cell>
          <cell r="AB10">
            <v>40044</v>
          </cell>
          <cell r="AC10">
            <v>40075</v>
          </cell>
          <cell r="AD10">
            <v>700</v>
          </cell>
          <cell r="AE10">
            <v>639</v>
          </cell>
          <cell r="AF10" t="str">
            <v>20：抽選</v>
          </cell>
          <cell r="AG10">
            <v>1</v>
          </cell>
          <cell r="AH10" t="str">
            <v>無償</v>
          </cell>
          <cell r="AI10" t="str">
            <v>ブック代込み</v>
          </cell>
          <cell r="AJ10">
            <v>300</v>
          </cell>
          <cell r="AK10">
            <v>234</v>
          </cell>
          <cell r="AL10">
            <v>99</v>
          </cell>
          <cell r="AM10">
            <v>1</v>
          </cell>
          <cell r="AN10" t="str">
            <v>無償</v>
          </cell>
          <cell r="AO10" t="str">
            <v>通常体系</v>
          </cell>
          <cell r="AP10" t="str">
            <v>再編集媒体区分</v>
          </cell>
          <cell r="AQ10">
            <v>40036</v>
          </cell>
          <cell r="AR10">
            <v>40033</v>
          </cell>
          <cell r="AS10" t="str">
            <v>2009/5/27媒体名　クリアランス夏1→クリアランス夏（339）</v>
          </cell>
        </row>
        <row r="11">
          <cell r="H11">
            <v>340</v>
          </cell>
          <cell r="I11" t="str">
            <v>+8</v>
          </cell>
          <cell r="J11" t="str">
            <v>Ｂ４</v>
          </cell>
          <cell r="K11">
            <v>16</v>
          </cell>
          <cell r="L11">
            <v>2</v>
          </cell>
          <cell r="M11">
            <v>8</v>
          </cell>
          <cell r="N11">
            <v>39902</v>
          </cell>
          <cell r="O11" t="str">
            <v>盛夏</v>
          </cell>
          <cell r="P11">
            <v>40028</v>
          </cell>
          <cell r="Q11">
            <v>40047</v>
          </cell>
          <cell r="R11">
            <v>39867</v>
          </cell>
          <cell r="S11">
            <v>40086</v>
          </cell>
          <cell r="T11">
            <v>39884</v>
          </cell>
          <cell r="U11">
            <v>40117</v>
          </cell>
          <cell r="V11">
            <v>300</v>
          </cell>
          <cell r="W11">
            <v>120</v>
          </cell>
          <cell r="X11">
            <v>19</v>
          </cell>
          <cell r="Y11">
            <v>1</v>
          </cell>
          <cell r="Z11" t="str">
            <v>無償</v>
          </cell>
          <cell r="AA11">
            <v>40000</v>
          </cell>
          <cell r="AB11">
            <v>40051</v>
          </cell>
          <cell r="AC11">
            <v>40082</v>
          </cell>
          <cell r="AD11">
            <v>700</v>
          </cell>
          <cell r="AE11">
            <v>636</v>
          </cell>
          <cell r="AF11" t="str">
            <v>20：抽選</v>
          </cell>
          <cell r="AG11">
            <v>1</v>
          </cell>
          <cell r="AH11" t="str">
            <v>無償</v>
          </cell>
          <cell r="AI11" t="str">
            <v>ブック代込み</v>
          </cell>
          <cell r="AJ11">
            <v>300</v>
          </cell>
          <cell r="AK11">
            <v>120</v>
          </cell>
          <cell r="AL11">
            <v>19</v>
          </cell>
          <cell r="AM11">
            <v>1</v>
          </cell>
          <cell r="AN11" t="str">
            <v>無償</v>
          </cell>
          <cell r="AO11" t="str">
            <v>通常体系</v>
          </cell>
          <cell r="AP11" t="str">
            <v>再編集媒体区分</v>
          </cell>
          <cell r="AQ11">
            <v>40043</v>
          </cell>
          <cell r="AR11">
            <v>40040</v>
          </cell>
          <cell r="AS11" t="str">
            <v>2009/5/27媒体名　クリアランス夏2→クリアランス夏（340）</v>
          </cell>
        </row>
        <row r="12">
          <cell r="H12">
            <v>341</v>
          </cell>
          <cell r="I12" t="str">
            <v>+8</v>
          </cell>
          <cell r="J12" t="str">
            <v>Ｂ４</v>
          </cell>
          <cell r="K12">
            <v>16</v>
          </cell>
          <cell r="L12">
            <v>2</v>
          </cell>
          <cell r="M12">
            <v>8</v>
          </cell>
          <cell r="N12">
            <v>39902</v>
          </cell>
          <cell r="O12" t="str">
            <v>盛夏</v>
          </cell>
          <cell r="P12">
            <v>40028</v>
          </cell>
          <cell r="Q12">
            <v>40047</v>
          </cell>
          <cell r="R12">
            <v>39867</v>
          </cell>
          <cell r="S12">
            <v>39988</v>
          </cell>
          <cell r="T12">
            <v>39884</v>
          </cell>
          <cell r="U12">
            <v>40019</v>
          </cell>
          <cell r="V12">
            <v>700</v>
          </cell>
          <cell r="W12">
            <v>454</v>
          </cell>
          <cell r="X12">
            <v>4</v>
          </cell>
          <cell r="Y12">
            <v>1</v>
          </cell>
          <cell r="Z12" t="str">
            <v>無償</v>
          </cell>
          <cell r="AA12">
            <v>40000</v>
          </cell>
          <cell r="AB12">
            <v>40051</v>
          </cell>
          <cell r="AC12">
            <v>40082</v>
          </cell>
          <cell r="AD12">
            <v>700</v>
          </cell>
          <cell r="AE12">
            <v>531</v>
          </cell>
          <cell r="AF12" t="str">
            <v>20：抽選</v>
          </cell>
          <cell r="AG12">
            <v>1</v>
          </cell>
          <cell r="AH12" t="str">
            <v>無償</v>
          </cell>
          <cell r="AI12" t="str">
            <v>ブック代込み</v>
          </cell>
          <cell r="AJ12">
            <v>700</v>
          </cell>
          <cell r="AK12">
            <v>454</v>
          </cell>
          <cell r="AL12">
            <v>4</v>
          </cell>
          <cell r="AM12">
            <v>1</v>
          </cell>
          <cell r="AN12" t="str">
            <v>無償</v>
          </cell>
          <cell r="AO12" t="str">
            <v>通常体系</v>
          </cell>
          <cell r="AP12" t="str">
            <v>再編集媒体区分</v>
          </cell>
          <cell r="AQ12">
            <v>40045</v>
          </cell>
          <cell r="AR12">
            <v>40040</v>
          </cell>
          <cell r="AS12" t="str">
            <v>2009/5/27媒体名　クリアランス夏3→クリアランス夏（341）</v>
          </cell>
        </row>
        <row r="13">
          <cell r="H13">
            <v>342</v>
          </cell>
          <cell r="I13" t="str">
            <v>+8</v>
          </cell>
          <cell r="J13" t="str">
            <v>Ｂ４</v>
          </cell>
          <cell r="K13">
            <v>16</v>
          </cell>
          <cell r="L13">
            <v>2</v>
          </cell>
          <cell r="M13">
            <v>8</v>
          </cell>
          <cell r="N13">
            <v>39916</v>
          </cell>
          <cell r="O13" t="str">
            <v>盛夏</v>
          </cell>
          <cell r="P13">
            <v>40035</v>
          </cell>
          <cell r="Q13">
            <v>40054</v>
          </cell>
          <cell r="R13">
            <v>39881</v>
          </cell>
          <cell r="S13">
            <v>40002</v>
          </cell>
          <cell r="T13">
            <v>39898</v>
          </cell>
          <cell r="U13">
            <v>40033</v>
          </cell>
          <cell r="V13">
            <v>900</v>
          </cell>
          <cell r="W13">
            <v>809</v>
          </cell>
          <cell r="X13">
            <v>4</v>
          </cell>
          <cell r="Y13">
            <v>1</v>
          </cell>
          <cell r="Z13" t="str">
            <v>無償</v>
          </cell>
          <cell r="AA13">
            <v>40007</v>
          </cell>
          <cell r="AB13">
            <v>40058</v>
          </cell>
          <cell r="AC13">
            <v>40089</v>
          </cell>
          <cell r="AD13" t="str">
            <v>600→700</v>
          </cell>
          <cell r="AE13">
            <v>616</v>
          </cell>
          <cell r="AF13" t="str">
            <v>20：抽選</v>
          </cell>
          <cell r="AG13">
            <v>1</v>
          </cell>
          <cell r="AH13" t="str">
            <v>無償</v>
          </cell>
          <cell r="AI13" t="str">
            <v>ブック代込み</v>
          </cell>
          <cell r="AJ13">
            <v>900</v>
          </cell>
          <cell r="AK13">
            <v>809</v>
          </cell>
          <cell r="AL13">
            <v>4</v>
          </cell>
          <cell r="AM13">
            <v>1</v>
          </cell>
          <cell r="AN13" t="str">
            <v>無償</v>
          </cell>
          <cell r="AO13" t="str">
            <v>通常体系</v>
          </cell>
          <cell r="AP13" t="str">
            <v>再編集媒体区分</v>
          </cell>
          <cell r="AQ13">
            <v>40050</v>
          </cell>
          <cell r="AR13">
            <v>40047</v>
          </cell>
          <cell r="AS13" t="str">
            <v>2009/5/27媒体名　クリアランス夏4→クリアランス夏（342）</v>
          </cell>
        </row>
        <row r="14">
          <cell r="H14">
            <v>318</v>
          </cell>
          <cell r="I14" t="str">
            <v>+8</v>
          </cell>
          <cell r="J14" t="str">
            <v>Ｂ４</v>
          </cell>
          <cell r="K14">
            <v>169</v>
          </cell>
          <cell r="L14">
            <v>2</v>
          </cell>
          <cell r="M14">
            <v>8</v>
          </cell>
          <cell r="N14">
            <v>39909</v>
          </cell>
          <cell r="O14" t="str">
            <v>冬</v>
          </cell>
          <cell r="P14">
            <v>40161</v>
          </cell>
          <cell r="Q14">
            <v>40194</v>
          </cell>
          <cell r="R14">
            <v>39874</v>
          </cell>
          <cell r="S14">
            <v>40051</v>
          </cell>
          <cell r="T14">
            <v>39891</v>
          </cell>
          <cell r="U14">
            <v>40082</v>
          </cell>
          <cell r="V14">
            <v>3700</v>
          </cell>
          <cell r="W14">
            <v>3594</v>
          </cell>
          <cell r="X14">
            <v>1</v>
          </cell>
          <cell r="Y14">
            <v>1</v>
          </cell>
          <cell r="Z14" t="str">
            <v>無償</v>
          </cell>
          <cell r="AA14">
            <v>40133</v>
          </cell>
          <cell r="AB14">
            <v>40198</v>
          </cell>
          <cell r="AC14">
            <v>40229</v>
          </cell>
          <cell r="AD14">
            <v>700</v>
          </cell>
          <cell r="AE14">
            <v>611</v>
          </cell>
          <cell r="AF14" t="str">
            <v>20：抽選</v>
          </cell>
          <cell r="AG14">
            <v>1</v>
          </cell>
          <cell r="AH14" t="str">
            <v>無償</v>
          </cell>
          <cell r="AI14" t="str">
            <v>ブック代込み</v>
          </cell>
          <cell r="AJ14">
            <v>3700</v>
          </cell>
          <cell r="AK14">
            <v>3594</v>
          </cell>
          <cell r="AL14">
            <v>1</v>
          </cell>
          <cell r="AM14">
            <v>1</v>
          </cell>
          <cell r="AN14" t="str">
            <v>無償</v>
          </cell>
          <cell r="AO14" t="str">
            <v>通常体系</v>
          </cell>
          <cell r="AP14" t="str">
            <v>再編集媒体区分</v>
          </cell>
          <cell r="AQ14">
            <v>40182</v>
          </cell>
          <cell r="AR14">
            <v>40173</v>
          </cell>
          <cell r="AS14" t="str">
            <v>3/25カタログ表示上の受注終了日変更　　　　　　　　　　　　　　　　　　　　　2009/7/28媒体名　クリアランス冬1→クリアランス冬（318）　　　　　　　　　　　　　　　2009/10/27媒体種類　衣料→混合</v>
          </cell>
        </row>
        <row r="15">
          <cell r="H15">
            <v>343</v>
          </cell>
          <cell r="I15" t="str">
            <v>+8</v>
          </cell>
          <cell r="J15" t="str">
            <v>Ｂ４</v>
          </cell>
          <cell r="K15">
            <v>24</v>
          </cell>
          <cell r="L15">
            <v>2</v>
          </cell>
          <cell r="M15">
            <v>16</v>
          </cell>
          <cell r="N15">
            <v>39923</v>
          </cell>
          <cell r="O15" t="str">
            <v>冬</v>
          </cell>
          <cell r="P15">
            <v>40161</v>
          </cell>
          <cell r="Q15">
            <v>40194</v>
          </cell>
          <cell r="R15">
            <v>39888</v>
          </cell>
          <cell r="S15">
            <v>40023</v>
          </cell>
          <cell r="T15">
            <v>39905</v>
          </cell>
          <cell r="U15">
            <v>40054</v>
          </cell>
          <cell r="V15" t="str">
            <v>1000→1100</v>
          </cell>
          <cell r="W15">
            <v>1088</v>
          </cell>
          <cell r="X15">
            <v>4</v>
          </cell>
          <cell r="Y15">
            <v>1</v>
          </cell>
          <cell r="Z15" t="str">
            <v>無償</v>
          </cell>
          <cell r="AA15">
            <v>40133</v>
          </cell>
          <cell r="AB15">
            <v>40198</v>
          </cell>
          <cell r="AC15">
            <v>40229</v>
          </cell>
          <cell r="AD15">
            <v>700</v>
          </cell>
          <cell r="AE15">
            <v>1043</v>
          </cell>
          <cell r="AF15" t="str">
            <v>20：抽選</v>
          </cell>
          <cell r="AG15">
            <v>1</v>
          </cell>
          <cell r="AH15" t="str">
            <v>無償</v>
          </cell>
          <cell r="AI15" t="str">
            <v>ブック代込み</v>
          </cell>
          <cell r="AJ15" t="str">
            <v>1000→1100</v>
          </cell>
          <cell r="AK15">
            <v>1088</v>
          </cell>
          <cell r="AL15">
            <v>4</v>
          </cell>
          <cell r="AM15">
            <v>1</v>
          </cell>
          <cell r="AN15" t="str">
            <v>無償</v>
          </cell>
          <cell r="AO15" t="str">
            <v>通常体系</v>
          </cell>
          <cell r="AP15" t="str">
            <v>再編集媒体区分</v>
          </cell>
          <cell r="AQ15">
            <v>40184</v>
          </cell>
          <cell r="AR15">
            <v>40177</v>
          </cell>
          <cell r="AS15" t="str">
            <v>2009/7/28媒体名　クリアランス冬2→クリアランス冬（343）,2009/8/5頁数8→16</v>
          </cell>
        </row>
        <row r="16">
          <cell r="H16">
            <v>344</v>
          </cell>
          <cell r="I16" t="str">
            <v>+8</v>
          </cell>
          <cell r="J16" t="str">
            <v>Ｂ４</v>
          </cell>
          <cell r="K16">
            <v>16</v>
          </cell>
          <cell r="L16">
            <v>2</v>
          </cell>
          <cell r="M16">
            <v>8</v>
          </cell>
          <cell r="N16">
            <v>39916</v>
          </cell>
          <cell r="O16" t="str">
            <v>冬</v>
          </cell>
          <cell r="P16">
            <v>40161</v>
          </cell>
          <cell r="Q16">
            <v>40194</v>
          </cell>
          <cell r="R16">
            <v>39881</v>
          </cell>
          <cell r="S16">
            <v>40002</v>
          </cell>
          <cell r="T16">
            <v>39898</v>
          </cell>
          <cell r="U16">
            <v>40033</v>
          </cell>
          <cell r="V16">
            <v>400</v>
          </cell>
          <cell r="W16">
            <v>385</v>
          </cell>
          <cell r="X16">
            <v>4</v>
          </cell>
          <cell r="Y16">
            <v>1</v>
          </cell>
          <cell r="Z16" t="str">
            <v>無償</v>
          </cell>
          <cell r="AA16">
            <v>40133</v>
          </cell>
          <cell r="AB16">
            <v>40198</v>
          </cell>
          <cell r="AC16">
            <v>40229</v>
          </cell>
          <cell r="AD16">
            <v>700</v>
          </cell>
          <cell r="AE16">
            <v>678</v>
          </cell>
          <cell r="AF16" t="str">
            <v>20：抽選</v>
          </cell>
          <cell r="AG16">
            <v>1</v>
          </cell>
          <cell r="AH16" t="str">
            <v>無償</v>
          </cell>
          <cell r="AI16" t="str">
            <v>ブック代込み</v>
          </cell>
          <cell r="AJ16">
            <v>400</v>
          </cell>
          <cell r="AK16">
            <v>385</v>
          </cell>
          <cell r="AL16">
            <v>4</v>
          </cell>
          <cell r="AM16">
            <v>1</v>
          </cell>
          <cell r="AN16" t="str">
            <v>無償</v>
          </cell>
          <cell r="AO16" t="str">
            <v>通常体系</v>
          </cell>
          <cell r="AP16" t="str">
            <v>再編集媒体区分</v>
          </cell>
          <cell r="AQ16">
            <v>40190</v>
          </cell>
          <cell r="AR16">
            <v>40177</v>
          </cell>
          <cell r="AS16" t="str">
            <v>2009/7/28媒体名　クリアランス冬3→クリアランス冬（344）　　　　　　　　　　　　　　　2009/10/27媒体種類　混合→衣料</v>
          </cell>
        </row>
        <row r="17">
          <cell r="H17">
            <v>6</v>
          </cell>
          <cell r="I17">
            <v>0</v>
          </cell>
          <cell r="J17" t="str">
            <v>-</v>
          </cell>
          <cell r="K17">
            <v>143</v>
          </cell>
          <cell r="L17">
            <v>2</v>
          </cell>
          <cell r="M17" t="str">
            <v>-</v>
          </cell>
          <cell r="N17">
            <v>39916</v>
          </cell>
          <cell r="O17" t="str">
            <v>通年</v>
          </cell>
          <cell r="P17">
            <v>39944</v>
          </cell>
          <cell r="Q17">
            <v>40110</v>
          </cell>
          <cell r="R17">
            <v>39881</v>
          </cell>
          <cell r="S17">
            <v>40009</v>
          </cell>
          <cell r="T17">
            <v>39898</v>
          </cell>
          <cell r="U17">
            <v>40040</v>
          </cell>
          <cell r="V17" t="str">
            <v>5000→5200</v>
          </cell>
          <cell r="W17">
            <v>5167</v>
          </cell>
          <cell r="X17">
            <v>1</v>
          </cell>
          <cell r="Y17">
            <v>1</v>
          </cell>
          <cell r="Z17" t="str">
            <v>無償</v>
          </cell>
          <cell r="AA17">
            <v>39909</v>
          </cell>
          <cell r="AB17">
            <v>40114</v>
          </cell>
          <cell r="AC17">
            <v>40145</v>
          </cell>
          <cell r="AD17">
            <v>50</v>
          </cell>
          <cell r="AE17" t="str">
            <v>35日前</v>
          </cell>
          <cell r="AF17" t="str">
            <v>13：パーツ</v>
          </cell>
          <cell r="AG17">
            <v>1</v>
          </cell>
          <cell r="AH17" t="str">
            <v>無償</v>
          </cell>
          <cell r="AI17" t="str">
            <v>ブック代込み</v>
          </cell>
          <cell r="AJ17" t="str">
            <v>5000→5200</v>
          </cell>
          <cell r="AK17">
            <v>5167</v>
          </cell>
          <cell r="AL17">
            <v>1</v>
          </cell>
          <cell r="AM17">
            <v>1</v>
          </cell>
          <cell r="AN17" t="str">
            <v>無償</v>
          </cell>
          <cell r="AO17" t="str">
            <v>通常体系</v>
          </cell>
          <cell r="AP17" t="str">
            <v>○</v>
          </cell>
          <cell r="AS17" t="str">
            <v>2009/1/13登録、3/13展開開始日変更</v>
          </cell>
        </row>
        <row r="18">
          <cell r="H18">
            <v>300</v>
          </cell>
          <cell r="I18">
            <v>0</v>
          </cell>
          <cell r="J18" t="str">
            <v>-</v>
          </cell>
          <cell r="K18">
            <v>24</v>
          </cell>
          <cell r="L18">
            <v>2</v>
          </cell>
          <cell r="M18" t="str">
            <v>-</v>
          </cell>
          <cell r="N18">
            <v>39916</v>
          </cell>
          <cell r="O18" t="str">
            <v>通年</v>
          </cell>
          <cell r="P18">
            <v>40105</v>
          </cell>
          <cell r="Q18">
            <v>40306</v>
          </cell>
          <cell r="R18">
            <v>39881</v>
          </cell>
          <cell r="S18">
            <v>40016</v>
          </cell>
          <cell r="T18">
            <v>39898</v>
          </cell>
          <cell r="U18">
            <v>40047</v>
          </cell>
          <cell r="V18">
            <v>1100</v>
          </cell>
          <cell r="W18">
            <v>1049</v>
          </cell>
          <cell r="X18">
            <v>2</v>
          </cell>
          <cell r="Y18">
            <v>1</v>
          </cell>
          <cell r="Z18" t="str">
            <v>無償</v>
          </cell>
          <cell r="AA18">
            <v>40070</v>
          </cell>
          <cell r="AB18">
            <v>40310</v>
          </cell>
          <cell r="AC18">
            <v>40341</v>
          </cell>
          <cell r="AD18">
            <v>50</v>
          </cell>
          <cell r="AE18">
            <v>44</v>
          </cell>
          <cell r="AF18" t="str">
            <v>13：パーツ</v>
          </cell>
          <cell r="AG18">
            <v>1</v>
          </cell>
          <cell r="AH18" t="str">
            <v>無償</v>
          </cell>
          <cell r="AI18" t="str">
            <v>ブック代込み</v>
          </cell>
          <cell r="AJ18">
            <v>1100</v>
          </cell>
          <cell r="AK18">
            <v>1049</v>
          </cell>
          <cell r="AL18">
            <v>2</v>
          </cell>
          <cell r="AM18">
            <v>1</v>
          </cell>
          <cell r="AN18" t="str">
            <v>無償</v>
          </cell>
          <cell r="AO18" t="str">
            <v>通常体系</v>
          </cell>
          <cell r="AP18" t="str">
            <v>×</v>
          </cell>
          <cell r="AS18" t="str">
            <v>2009/9/4登録</v>
          </cell>
        </row>
        <row r="19">
          <cell r="H19">
            <v>7</v>
          </cell>
          <cell r="I19" t="str">
            <v>+1</v>
          </cell>
          <cell r="J19" t="str">
            <v>-</v>
          </cell>
          <cell r="K19">
            <v>8</v>
          </cell>
          <cell r="L19">
            <v>2</v>
          </cell>
          <cell r="M19" t="str">
            <v>-</v>
          </cell>
          <cell r="N19">
            <v>39916</v>
          </cell>
          <cell r="O19" t="str">
            <v>通年</v>
          </cell>
          <cell r="P19">
            <v>39895</v>
          </cell>
          <cell r="Q19">
            <v>40257</v>
          </cell>
          <cell r="R19">
            <v>39881</v>
          </cell>
          <cell r="S19">
            <v>40016</v>
          </cell>
          <cell r="T19">
            <v>39898</v>
          </cell>
          <cell r="U19">
            <v>40047</v>
          </cell>
          <cell r="V19">
            <v>400</v>
          </cell>
          <cell r="W19">
            <v>376</v>
          </cell>
          <cell r="X19">
            <v>19</v>
          </cell>
          <cell r="Y19">
            <v>1</v>
          </cell>
          <cell r="Z19" t="str">
            <v>無償</v>
          </cell>
          <cell r="AA19">
            <v>39860</v>
          </cell>
          <cell r="AB19">
            <v>40261</v>
          </cell>
          <cell r="AC19">
            <v>40292</v>
          </cell>
          <cell r="AD19">
            <v>100</v>
          </cell>
          <cell r="AE19">
            <v>53</v>
          </cell>
          <cell r="AF19" t="str">
            <v>13：パーツ</v>
          </cell>
          <cell r="AG19">
            <v>1</v>
          </cell>
          <cell r="AH19" t="str">
            <v>無償</v>
          </cell>
          <cell r="AI19" t="str">
            <v>ブック代込み</v>
          </cell>
          <cell r="AJ19">
            <v>400</v>
          </cell>
          <cell r="AK19">
            <v>376</v>
          </cell>
          <cell r="AL19">
            <v>19</v>
          </cell>
          <cell r="AM19">
            <v>1</v>
          </cell>
          <cell r="AN19" t="str">
            <v>無償</v>
          </cell>
          <cell r="AO19" t="str">
            <v>通常体系</v>
          </cell>
          <cell r="AP19" t="str">
            <v>×</v>
          </cell>
          <cell r="AS19" t="str">
            <v>2009/1/13登録</v>
          </cell>
        </row>
        <row r="20">
          <cell r="H20">
            <v>187</v>
          </cell>
          <cell r="I20" t="str">
            <v>+8</v>
          </cell>
          <cell r="J20" t="str">
            <v>Ｂ４</v>
          </cell>
          <cell r="K20">
            <v>24</v>
          </cell>
          <cell r="L20">
            <v>2</v>
          </cell>
          <cell r="M20">
            <v>2</v>
          </cell>
          <cell r="N20">
            <v>39930</v>
          </cell>
          <cell r="O20" t="str">
            <v>新春</v>
          </cell>
          <cell r="P20">
            <v>40203</v>
          </cell>
          <cell r="Q20">
            <v>40243</v>
          </cell>
          <cell r="R20">
            <v>39895</v>
          </cell>
          <cell r="S20">
            <v>40023</v>
          </cell>
          <cell r="T20">
            <v>39912</v>
          </cell>
          <cell r="U20">
            <v>40054</v>
          </cell>
          <cell r="V20">
            <v>1900</v>
          </cell>
          <cell r="W20">
            <v>1881</v>
          </cell>
          <cell r="X20">
            <v>4</v>
          </cell>
          <cell r="Y20">
            <v>1</v>
          </cell>
          <cell r="Z20" t="str">
            <v>無償</v>
          </cell>
          <cell r="AA20">
            <v>40168</v>
          </cell>
          <cell r="AB20">
            <v>40247</v>
          </cell>
          <cell r="AC20">
            <v>40278</v>
          </cell>
          <cell r="AD20">
            <v>100</v>
          </cell>
          <cell r="AE20">
            <v>60</v>
          </cell>
          <cell r="AF20" t="str">
            <v>2：家庭用品ﾁﾗｼ</v>
          </cell>
          <cell r="AG20">
            <v>1</v>
          </cell>
          <cell r="AH20" t="str">
            <v>無償</v>
          </cell>
          <cell r="AI20" t="str">
            <v>ブック代込み</v>
          </cell>
          <cell r="AJ20">
            <v>1900</v>
          </cell>
          <cell r="AK20">
            <v>1881</v>
          </cell>
          <cell r="AL20">
            <v>4</v>
          </cell>
          <cell r="AM20">
            <v>1</v>
          </cell>
          <cell r="AN20" t="str">
            <v>無償</v>
          </cell>
          <cell r="AO20" t="str">
            <v>通常体系</v>
          </cell>
          <cell r="AP20" t="str">
            <v>○</v>
          </cell>
          <cell r="AS20" t="str">
            <v>2009/11/4登録　2009/12/2　ページ数4→2                                                                              2010/1/7 企画中止</v>
          </cell>
        </row>
        <row r="21">
          <cell r="H21">
            <v>189</v>
          </cell>
          <cell r="I21" t="str">
            <v>+1</v>
          </cell>
          <cell r="J21" t="str">
            <v>Ｂ４</v>
          </cell>
          <cell r="K21">
            <v>16</v>
          </cell>
          <cell r="L21">
            <v>2</v>
          </cell>
          <cell r="M21" t="str">
            <v>1(表）</v>
          </cell>
          <cell r="N21">
            <v>39930</v>
          </cell>
          <cell r="O21" t="str">
            <v>新春</v>
          </cell>
          <cell r="P21">
            <v>40203</v>
          </cell>
          <cell r="Q21">
            <v>40271</v>
          </cell>
          <cell r="R21">
            <v>39895</v>
          </cell>
          <cell r="S21">
            <v>40030</v>
          </cell>
          <cell r="T21">
            <v>39912</v>
          </cell>
          <cell r="U21">
            <v>40061</v>
          </cell>
          <cell r="V21">
            <v>500</v>
          </cell>
          <cell r="W21">
            <v>380</v>
          </cell>
          <cell r="X21">
            <v>4</v>
          </cell>
          <cell r="Y21">
            <v>1</v>
          </cell>
          <cell r="Z21" t="str">
            <v>無償</v>
          </cell>
          <cell r="AA21">
            <v>40168</v>
          </cell>
          <cell r="AB21">
            <v>40275</v>
          </cell>
          <cell r="AC21">
            <v>40306</v>
          </cell>
          <cell r="AD21">
            <v>100</v>
          </cell>
          <cell r="AE21">
            <v>24</v>
          </cell>
          <cell r="AF21" t="str">
            <v>700：週宅</v>
          </cell>
          <cell r="AG21">
            <v>1</v>
          </cell>
          <cell r="AH21" t="str">
            <v>無償</v>
          </cell>
          <cell r="AI21" t="str">
            <v>ブック代込み</v>
          </cell>
          <cell r="AJ21">
            <v>500</v>
          </cell>
          <cell r="AK21">
            <v>380</v>
          </cell>
          <cell r="AL21">
            <v>4</v>
          </cell>
          <cell r="AM21">
            <v>1</v>
          </cell>
          <cell r="AN21" t="str">
            <v>無償</v>
          </cell>
          <cell r="AO21" t="str">
            <v>通常体系</v>
          </cell>
          <cell r="AP21" t="str">
            <v>○</v>
          </cell>
          <cell r="AS21" t="str">
            <v>2009/12/2登録</v>
          </cell>
        </row>
        <row r="22">
          <cell r="H22">
            <v>640</v>
          </cell>
          <cell r="I22" t="str">
            <v>+1</v>
          </cell>
          <cell r="J22" t="str">
            <v>Ｂ４</v>
          </cell>
          <cell r="K22">
            <v>8</v>
          </cell>
          <cell r="L22">
            <v>2</v>
          </cell>
          <cell r="M22" t="str">
            <v>1(裏）</v>
          </cell>
          <cell r="N22">
            <v>39944</v>
          </cell>
          <cell r="O22" t="str">
            <v>新春</v>
          </cell>
          <cell r="P22">
            <v>40203</v>
          </cell>
          <cell r="Q22">
            <v>40271</v>
          </cell>
          <cell r="R22">
            <v>39909</v>
          </cell>
          <cell r="S22">
            <v>40044</v>
          </cell>
          <cell r="T22">
            <v>39926</v>
          </cell>
          <cell r="U22">
            <v>40075</v>
          </cell>
          <cell r="V22">
            <v>400</v>
          </cell>
          <cell r="W22">
            <v>358</v>
          </cell>
          <cell r="X22">
            <v>19</v>
          </cell>
          <cell r="Y22">
            <v>1</v>
          </cell>
          <cell r="Z22" t="str">
            <v>無償</v>
          </cell>
          <cell r="AA22">
            <v>40168</v>
          </cell>
          <cell r="AB22">
            <v>40275</v>
          </cell>
          <cell r="AC22">
            <v>40306</v>
          </cell>
          <cell r="AD22">
            <v>100</v>
          </cell>
          <cell r="AE22">
            <v>37</v>
          </cell>
          <cell r="AF22" t="str">
            <v>2：家庭用品ﾁﾗｼ</v>
          </cell>
          <cell r="AG22">
            <v>1</v>
          </cell>
          <cell r="AH22" t="str">
            <v>無償</v>
          </cell>
          <cell r="AI22" t="str">
            <v>ブック代込み</v>
          </cell>
          <cell r="AJ22">
            <v>400</v>
          </cell>
          <cell r="AK22">
            <v>358</v>
          </cell>
          <cell r="AL22">
            <v>19</v>
          </cell>
          <cell r="AM22">
            <v>1</v>
          </cell>
          <cell r="AN22" t="str">
            <v>無償</v>
          </cell>
          <cell r="AO22" t="str">
            <v>通常体系</v>
          </cell>
          <cell r="AP22" t="str">
            <v>×</v>
          </cell>
          <cell r="AS22" t="str">
            <v>2009/12/2登録</v>
          </cell>
        </row>
        <row r="23">
          <cell r="H23" t="str">
            <v>3：増枠</v>
          </cell>
          <cell r="I23">
            <v>3</v>
          </cell>
          <cell r="J23" t="str">
            <v>B4</v>
          </cell>
          <cell r="K23">
            <v>24</v>
          </cell>
          <cell r="L23">
            <v>5</v>
          </cell>
          <cell r="M23" t="str">
            <v>盛夏</v>
          </cell>
          <cell r="N23">
            <v>39951</v>
          </cell>
          <cell r="O23">
            <v>40068</v>
          </cell>
          <cell r="P23">
            <v>118</v>
          </cell>
          <cell r="Q23" t="str">
            <v>35日前</v>
          </cell>
          <cell r="R23">
            <v>39916</v>
          </cell>
          <cell r="S23">
            <v>40072</v>
          </cell>
          <cell r="T23">
            <v>39933</v>
          </cell>
          <cell r="U23">
            <v>40103</v>
          </cell>
          <cell r="V23">
            <v>1800</v>
          </cell>
          <cell r="W23">
            <v>1773</v>
          </cell>
          <cell r="X23">
            <v>19</v>
          </cell>
          <cell r="Y23">
            <v>1</v>
          </cell>
          <cell r="Z23" t="str">
            <v>無償</v>
          </cell>
          <cell r="AA23" t="str">
            <v>通常体系</v>
          </cell>
          <cell r="AB23" t="str">
            <v>×</v>
          </cell>
          <cell r="AE23" t="str">
            <v>35日前</v>
          </cell>
          <cell r="AF23">
            <v>39916</v>
          </cell>
          <cell r="AG23">
            <v>40072</v>
          </cell>
          <cell r="AH23">
            <v>39933</v>
          </cell>
          <cell r="AI23">
            <v>40103</v>
          </cell>
          <cell r="AJ23">
            <v>1800</v>
          </cell>
          <cell r="AK23">
            <v>1773</v>
          </cell>
          <cell r="AL23">
            <v>19</v>
          </cell>
          <cell r="AM23">
            <v>1</v>
          </cell>
          <cell r="AN23" t="str">
            <v>無償</v>
          </cell>
          <cell r="AO23" t="str">
            <v>通常体系</v>
          </cell>
          <cell r="AP23" t="str">
            <v>×</v>
          </cell>
        </row>
        <row r="24">
          <cell r="H24" t="str">
            <v>0：通常</v>
          </cell>
          <cell r="I24">
            <v>0</v>
          </cell>
          <cell r="J24" t="str">
            <v>B4</v>
          </cell>
          <cell r="K24">
            <v>24</v>
          </cell>
          <cell r="L24">
            <v>5</v>
          </cell>
          <cell r="M24" t="str">
            <v>盛夏</v>
          </cell>
          <cell r="N24">
            <v>39958</v>
          </cell>
          <cell r="O24">
            <v>40033</v>
          </cell>
          <cell r="P24">
            <v>76</v>
          </cell>
          <cell r="Q24" t="str">
            <v>35日前</v>
          </cell>
          <cell r="R24">
            <v>39923</v>
          </cell>
          <cell r="S24">
            <v>40037</v>
          </cell>
          <cell r="T24">
            <v>39940</v>
          </cell>
          <cell r="U24">
            <v>40068</v>
          </cell>
          <cell r="V24">
            <v>1100</v>
          </cell>
          <cell r="W24">
            <v>912</v>
          </cell>
          <cell r="X24">
            <v>19</v>
          </cell>
          <cell r="Y24">
            <v>1</v>
          </cell>
          <cell r="Z24" t="str">
            <v>無償</v>
          </cell>
          <cell r="AA24" t="str">
            <v>通常体系</v>
          </cell>
          <cell r="AB24" t="str">
            <v>×</v>
          </cell>
          <cell r="AE24" t="str">
            <v>35日前</v>
          </cell>
          <cell r="AF24">
            <v>39923</v>
          </cell>
          <cell r="AG24">
            <v>40037</v>
          </cell>
          <cell r="AH24">
            <v>39940</v>
          </cell>
          <cell r="AI24">
            <v>40068</v>
          </cell>
          <cell r="AJ24">
            <v>1100</v>
          </cell>
          <cell r="AK24">
            <v>912</v>
          </cell>
          <cell r="AL24">
            <v>19</v>
          </cell>
          <cell r="AM24">
            <v>1</v>
          </cell>
          <cell r="AN24" t="str">
            <v>無償</v>
          </cell>
          <cell r="AO24" t="str">
            <v>通常体系</v>
          </cell>
          <cell r="AP24" t="str">
            <v>×</v>
          </cell>
        </row>
        <row r="25">
          <cell r="H25" t="str">
            <v>1：新枠</v>
          </cell>
          <cell r="I25">
            <v>1</v>
          </cell>
          <cell r="J25" t="str">
            <v>A4</v>
          </cell>
          <cell r="K25">
            <v>71</v>
          </cell>
          <cell r="L25">
            <v>5</v>
          </cell>
          <cell r="M25" t="str">
            <v>盛夏</v>
          </cell>
          <cell r="N25">
            <v>39958</v>
          </cell>
          <cell r="O25">
            <v>40068</v>
          </cell>
          <cell r="P25">
            <v>111</v>
          </cell>
          <cell r="Q25" t="str">
            <v>35日前</v>
          </cell>
          <cell r="R25">
            <v>39923</v>
          </cell>
          <cell r="S25">
            <v>40072</v>
          </cell>
          <cell r="T25">
            <v>39940</v>
          </cell>
          <cell r="U25">
            <v>40103</v>
          </cell>
          <cell r="V25">
            <v>1500</v>
          </cell>
          <cell r="W25">
            <v>1321</v>
          </cell>
          <cell r="X25">
            <v>1</v>
          </cell>
          <cell r="Y25">
            <v>1</v>
          </cell>
          <cell r="Z25" t="str">
            <v>無償</v>
          </cell>
          <cell r="AA25" t="str">
            <v>通常体系</v>
          </cell>
          <cell r="AB25" t="str">
            <v>○</v>
          </cell>
          <cell r="AE25" t="str">
            <v>35日前</v>
          </cell>
          <cell r="AF25">
            <v>39923</v>
          </cell>
          <cell r="AG25">
            <v>40072</v>
          </cell>
          <cell r="AH25">
            <v>39940</v>
          </cell>
          <cell r="AI25">
            <v>40103</v>
          </cell>
          <cell r="AJ25">
            <v>1500</v>
          </cell>
          <cell r="AK25">
            <v>1321</v>
          </cell>
          <cell r="AL25">
            <v>1</v>
          </cell>
          <cell r="AM25">
            <v>1</v>
          </cell>
          <cell r="AN25" t="str">
            <v>無償</v>
          </cell>
          <cell r="AO25" t="str">
            <v>通常体系</v>
          </cell>
          <cell r="AP25" t="str">
            <v>○</v>
          </cell>
        </row>
        <row r="26">
          <cell r="H26" t="str">
            <v>1：新枠</v>
          </cell>
          <cell r="I26">
            <v>1</v>
          </cell>
          <cell r="J26" t="str">
            <v>B4</v>
          </cell>
          <cell r="K26">
            <v>16</v>
          </cell>
          <cell r="L26">
            <v>5</v>
          </cell>
          <cell r="M26" t="str">
            <v>盛夏</v>
          </cell>
          <cell r="N26">
            <v>39951</v>
          </cell>
          <cell r="O26">
            <v>40054</v>
          </cell>
          <cell r="P26">
            <v>104</v>
          </cell>
          <cell r="Q26" t="str">
            <v>35日前</v>
          </cell>
          <cell r="R26">
            <v>39916</v>
          </cell>
          <cell r="S26">
            <v>40058</v>
          </cell>
          <cell r="T26">
            <v>39933</v>
          </cell>
          <cell r="U26">
            <v>40089</v>
          </cell>
          <cell r="V26">
            <v>900</v>
          </cell>
          <cell r="W26">
            <v>866</v>
          </cell>
          <cell r="X26">
            <v>15</v>
          </cell>
          <cell r="Y26">
            <v>1</v>
          </cell>
          <cell r="Z26" t="str">
            <v>無償</v>
          </cell>
          <cell r="AA26" t="str">
            <v>通常体系</v>
          </cell>
          <cell r="AB26" t="str">
            <v>×</v>
          </cell>
          <cell r="AE26" t="str">
            <v>35日前</v>
          </cell>
          <cell r="AF26">
            <v>39916</v>
          </cell>
          <cell r="AG26">
            <v>40058</v>
          </cell>
          <cell r="AH26">
            <v>39933</v>
          </cell>
          <cell r="AI26">
            <v>40089</v>
          </cell>
          <cell r="AJ26">
            <v>900</v>
          </cell>
          <cell r="AK26">
            <v>866</v>
          </cell>
          <cell r="AL26">
            <v>15</v>
          </cell>
          <cell r="AM26">
            <v>1</v>
          </cell>
          <cell r="AN26" t="str">
            <v>無償</v>
          </cell>
          <cell r="AO26" t="str">
            <v>通常体系</v>
          </cell>
          <cell r="AP26" t="str">
            <v>×</v>
          </cell>
        </row>
        <row r="27">
          <cell r="H27" t="str">
            <v>0：通常</v>
          </cell>
          <cell r="I27">
            <v>0</v>
          </cell>
          <cell r="J27" t="str">
            <v>A4変型版</v>
          </cell>
          <cell r="K27">
            <v>104</v>
          </cell>
          <cell r="L27">
            <v>5</v>
          </cell>
          <cell r="M27" t="str">
            <v>盛夏</v>
          </cell>
          <cell r="N27">
            <v>39965</v>
          </cell>
          <cell r="O27">
            <v>40082</v>
          </cell>
          <cell r="P27">
            <v>118</v>
          </cell>
          <cell r="Q27" t="str">
            <v>35日前</v>
          </cell>
          <cell r="R27">
            <v>39930</v>
          </cell>
          <cell r="S27">
            <v>40086</v>
          </cell>
          <cell r="T27">
            <v>39947</v>
          </cell>
          <cell r="U27">
            <v>40117</v>
          </cell>
          <cell r="V27">
            <v>2700</v>
          </cell>
          <cell r="W27">
            <v>2661</v>
          </cell>
          <cell r="X27">
            <v>98</v>
          </cell>
          <cell r="Y27">
            <v>1</v>
          </cell>
          <cell r="Z27" t="str">
            <v>無償</v>
          </cell>
          <cell r="AA27" t="str">
            <v>通常体系</v>
          </cell>
          <cell r="AB27" t="str">
            <v>×</v>
          </cell>
          <cell r="AE27" t="str">
            <v>35日前</v>
          </cell>
          <cell r="AF27">
            <v>39930</v>
          </cell>
          <cell r="AG27">
            <v>40086</v>
          </cell>
          <cell r="AH27">
            <v>39947</v>
          </cell>
          <cell r="AI27">
            <v>40117</v>
          </cell>
          <cell r="AJ27">
            <v>2700</v>
          </cell>
          <cell r="AK27">
            <v>2661</v>
          </cell>
          <cell r="AL27">
            <v>98</v>
          </cell>
          <cell r="AM27">
            <v>1</v>
          </cell>
          <cell r="AN27" t="str">
            <v>無償</v>
          </cell>
          <cell r="AO27" t="str">
            <v>通常体系</v>
          </cell>
          <cell r="AP27" t="str">
            <v>×</v>
          </cell>
        </row>
        <row r="28">
          <cell r="H28" t="str">
            <v>0：通常</v>
          </cell>
          <cell r="I28">
            <v>0</v>
          </cell>
          <cell r="J28" t="str">
            <v>B4</v>
          </cell>
          <cell r="K28">
            <v>24</v>
          </cell>
          <cell r="L28">
            <v>5</v>
          </cell>
          <cell r="M28" t="str">
            <v>盛夏</v>
          </cell>
          <cell r="N28">
            <v>39965</v>
          </cell>
          <cell r="O28">
            <v>40061</v>
          </cell>
          <cell r="P28">
            <v>97</v>
          </cell>
          <cell r="Q28" t="str">
            <v>35日前</v>
          </cell>
          <cell r="R28">
            <v>39930</v>
          </cell>
          <cell r="S28">
            <v>40065</v>
          </cell>
          <cell r="T28">
            <v>39947</v>
          </cell>
          <cell r="U28">
            <v>40096</v>
          </cell>
          <cell r="V28" t="str">
            <v>1200→1500→1800</v>
          </cell>
          <cell r="W28">
            <v>1585</v>
          </cell>
          <cell r="X28">
            <v>14</v>
          </cell>
          <cell r="Y28">
            <v>1</v>
          </cell>
          <cell r="Z28" t="str">
            <v>無償</v>
          </cell>
          <cell r="AA28" t="str">
            <v>通常体系</v>
          </cell>
          <cell r="AB28" t="str">
            <v>×</v>
          </cell>
          <cell r="AE28" t="str">
            <v>35日前</v>
          </cell>
          <cell r="AF28">
            <v>39930</v>
          </cell>
          <cell r="AG28">
            <v>40065</v>
          </cell>
          <cell r="AH28">
            <v>39947</v>
          </cell>
          <cell r="AI28">
            <v>40096</v>
          </cell>
          <cell r="AJ28" t="str">
            <v>1200→1500→1800</v>
          </cell>
          <cell r="AK28">
            <v>1585</v>
          </cell>
          <cell r="AL28">
            <v>14</v>
          </cell>
          <cell r="AM28">
            <v>1</v>
          </cell>
          <cell r="AN28" t="str">
            <v>無償</v>
          </cell>
          <cell r="AO28" t="str">
            <v>通常体系</v>
          </cell>
          <cell r="AP28" t="str">
            <v>×</v>
          </cell>
        </row>
        <row r="29">
          <cell r="H29" t="str">
            <v>0：通常</v>
          </cell>
          <cell r="I29">
            <v>0</v>
          </cell>
          <cell r="J29" t="str">
            <v>B4</v>
          </cell>
          <cell r="K29">
            <v>16</v>
          </cell>
          <cell r="L29">
            <v>5</v>
          </cell>
          <cell r="M29" t="str">
            <v>盛夏</v>
          </cell>
          <cell r="N29">
            <v>39972</v>
          </cell>
          <cell r="O29">
            <v>40075</v>
          </cell>
          <cell r="P29">
            <v>104</v>
          </cell>
          <cell r="Q29" t="str">
            <v>35日前</v>
          </cell>
          <cell r="R29">
            <v>39937</v>
          </cell>
          <cell r="S29">
            <v>40079</v>
          </cell>
          <cell r="T29">
            <v>39954</v>
          </cell>
          <cell r="U29">
            <v>40110</v>
          </cell>
          <cell r="V29" t="str">
            <v>1300→1400</v>
          </cell>
          <cell r="W29">
            <v>1357</v>
          </cell>
          <cell r="X29">
            <v>4</v>
          </cell>
          <cell r="Y29">
            <v>1</v>
          </cell>
          <cell r="Z29" t="str">
            <v>無償</v>
          </cell>
          <cell r="AA29" t="str">
            <v>通常体系</v>
          </cell>
          <cell r="AB29" t="str">
            <v>○</v>
          </cell>
          <cell r="AE29" t="str">
            <v>35日前</v>
          </cell>
          <cell r="AF29">
            <v>39937</v>
          </cell>
          <cell r="AG29">
            <v>40079</v>
          </cell>
          <cell r="AH29">
            <v>39954</v>
          </cell>
          <cell r="AI29">
            <v>40110</v>
          </cell>
          <cell r="AJ29" t="str">
            <v>1300→1400</v>
          </cell>
          <cell r="AK29">
            <v>1357</v>
          </cell>
          <cell r="AL29">
            <v>4</v>
          </cell>
          <cell r="AM29">
            <v>1</v>
          </cell>
          <cell r="AN29" t="str">
            <v>無償</v>
          </cell>
          <cell r="AO29" t="str">
            <v>通常体系</v>
          </cell>
          <cell r="AP29" t="str">
            <v>○</v>
          </cell>
        </row>
        <row r="30">
          <cell r="H30" t="str">
            <v>1：新枠</v>
          </cell>
          <cell r="I30">
            <v>1</v>
          </cell>
          <cell r="J30" t="str">
            <v>B4</v>
          </cell>
          <cell r="K30">
            <v>8</v>
          </cell>
          <cell r="L30">
            <v>5</v>
          </cell>
          <cell r="M30" t="str">
            <v>盛夏</v>
          </cell>
          <cell r="N30">
            <v>39993</v>
          </cell>
          <cell r="O30">
            <v>40068</v>
          </cell>
          <cell r="P30">
            <v>76</v>
          </cell>
          <cell r="Q30" t="str">
            <v>35日前</v>
          </cell>
          <cell r="R30">
            <v>39958</v>
          </cell>
          <cell r="S30">
            <v>40072</v>
          </cell>
          <cell r="T30">
            <v>39975</v>
          </cell>
          <cell r="U30">
            <v>40103</v>
          </cell>
          <cell r="V30">
            <v>180</v>
          </cell>
          <cell r="W30">
            <v>144</v>
          </cell>
          <cell r="X30">
            <v>19</v>
          </cell>
          <cell r="Y30">
            <v>1</v>
          </cell>
          <cell r="Z30" t="str">
            <v>無償</v>
          </cell>
          <cell r="AA30" t="str">
            <v>通常体系</v>
          </cell>
          <cell r="AB30" t="str">
            <v>×</v>
          </cell>
          <cell r="AE30" t="str">
            <v>35日前</v>
          </cell>
          <cell r="AF30">
            <v>39958</v>
          </cell>
          <cell r="AG30">
            <v>40072</v>
          </cell>
          <cell r="AH30">
            <v>39975</v>
          </cell>
          <cell r="AI30">
            <v>40103</v>
          </cell>
          <cell r="AJ30">
            <v>180</v>
          </cell>
          <cell r="AK30">
            <v>144</v>
          </cell>
          <cell r="AL30">
            <v>19</v>
          </cell>
          <cell r="AM30">
            <v>1</v>
          </cell>
          <cell r="AN30" t="str">
            <v>無償</v>
          </cell>
          <cell r="AO30" t="str">
            <v>通常体系</v>
          </cell>
          <cell r="AP30" t="str">
            <v>×</v>
          </cell>
        </row>
        <row r="31">
          <cell r="H31" t="str">
            <v>1：新枠</v>
          </cell>
          <cell r="I31">
            <v>1</v>
          </cell>
          <cell r="J31" t="str">
            <v>B4</v>
          </cell>
          <cell r="K31">
            <v>8</v>
          </cell>
          <cell r="L31">
            <v>5</v>
          </cell>
          <cell r="M31" t="str">
            <v>盛夏</v>
          </cell>
          <cell r="N31">
            <v>39986</v>
          </cell>
          <cell r="O31">
            <v>40061</v>
          </cell>
          <cell r="P31">
            <v>76</v>
          </cell>
          <cell r="Q31" t="str">
            <v>35日前</v>
          </cell>
          <cell r="R31">
            <v>39951</v>
          </cell>
          <cell r="S31">
            <v>40065</v>
          </cell>
          <cell r="T31">
            <v>39968</v>
          </cell>
          <cell r="U31">
            <v>40096</v>
          </cell>
          <cell r="V31">
            <v>300</v>
          </cell>
          <cell r="W31">
            <v>279</v>
          </cell>
          <cell r="X31">
            <v>15</v>
          </cell>
          <cell r="Y31">
            <v>1</v>
          </cell>
          <cell r="Z31" t="str">
            <v>無償</v>
          </cell>
          <cell r="AA31" t="str">
            <v>通常体系</v>
          </cell>
          <cell r="AB31" t="str">
            <v>×</v>
          </cell>
          <cell r="AE31" t="str">
            <v>35日前</v>
          </cell>
          <cell r="AF31">
            <v>39951</v>
          </cell>
          <cell r="AG31">
            <v>40065</v>
          </cell>
          <cell r="AH31">
            <v>39968</v>
          </cell>
          <cell r="AI31">
            <v>40096</v>
          </cell>
          <cell r="AJ31">
            <v>300</v>
          </cell>
          <cell r="AK31">
            <v>279</v>
          </cell>
          <cell r="AL31">
            <v>15</v>
          </cell>
          <cell r="AM31">
            <v>1</v>
          </cell>
          <cell r="AN31" t="str">
            <v>無償</v>
          </cell>
          <cell r="AO31" t="str">
            <v>通常体系</v>
          </cell>
          <cell r="AP31" t="str">
            <v>×</v>
          </cell>
        </row>
        <row r="32">
          <cell r="H32" t="str">
            <v>0：通常</v>
          </cell>
          <cell r="I32">
            <v>0</v>
          </cell>
          <cell r="J32" t="str">
            <v>B4</v>
          </cell>
          <cell r="K32">
            <v>24</v>
          </cell>
          <cell r="L32">
            <v>5</v>
          </cell>
          <cell r="M32" t="str">
            <v>盛夏</v>
          </cell>
          <cell r="N32">
            <v>39979</v>
          </cell>
          <cell r="O32">
            <v>40082</v>
          </cell>
          <cell r="P32">
            <v>104</v>
          </cell>
          <cell r="Q32" t="str">
            <v>35日前</v>
          </cell>
          <cell r="R32">
            <v>39944</v>
          </cell>
          <cell r="S32">
            <v>40086</v>
          </cell>
          <cell r="T32">
            <v>39961</v>
          </cell>
          <cell r="U32">
            <v>40117</v>
          </cell>
          <cell r="V32">
            <v>1000</v>
          </cell>
          <cell r="W32">
            <v>944</v>
          </cell>
          <cell r="X32">
            <v>2</v>
          </cell>
          <cell r="Y32">
            <v>1</v>
          </cell>
          <cell r="Z32" t="str">
            <v>無償</v>
          </cell>
          <cell r="AA32" t="str">
            <v>通常体系</v>
          </cell>
          <cell r="AB32" t="str">
            <v>×</v>
          </cell>
          <cell r="AE32" t="str">
            <v>35日前</v>
          </cell>
          <cell r="AF32">
            <v>39944</v>
          </cell>
          <cell r="AG32">
            <v>40086</v>
          </cell>
          <cell r="AH32">
            <v>39961</v>
          </cell>
          <cell r="AI32">
            <v>40117</v>
          </cell>
          <cell r="AJ32">
            <v>1000</v>
          </cell>
          <cell r="AK32">
            <v>944</v>
          </cell>
          <cell r="AL32">
            <v>2</v>
          </cell>
          <cell r="AM32">
            <v>1</v>
          </cell>
          <cell r="AN32" t="str">
            <v>無償</v>
          </cell>
          <cell r="AO32" t="str">
            <v>通常体系</v>
          </cell>
          <cell r="AP32" t="str">
            <v>×</v>
          </cell>
        </row>
        <row r="33">
          <cell r="H33" t="str">
            <v>0：通常</v>
          </cell>
          <cell r="I33">
            <v>0</v>
          </cell>
          <cell r="J33" t="str">
            <v>B4</v>
          </cell>
          <cell r="K33">
            <v>16</v>
          </cell>
          <cell r="L33">
            <v>5</v>
          </cell>
          <cell r="M33" t="str">
            <v>盛夏</v>
          </cell>
          <cell r="N33">
            <v>39979</v>
          </cell>
          <cell r="O33">
            <v>40061</v>
          </cell>
          <cell r="P33">
            <v>83</v>
          </cell>
          <cell r="Q33" t="str">
            <v>35日前</v>
          </cell>
          <cell r="R33">
            <v>39944</v>
          </cell>
          <cell r="S33">
            <v>40065</v>
          </cell>
          <cell r="T33">
            <v>39961</v>
          </cell>
          <cell r="U33">
            <v>40096</v>
          </cell>
          <cell r="V33" t="str">
            <v>700→600</v>
          </cell>
          <cell r="W33">
            <v>573</v>
          </cell>
          <cell r="X33">
            <v>19</v>
          </cell>
          <cell r="Y33">
            <v>1</v>
          </cell>
          <cell r="Z33" t="str">
            <v>無償</v>
          </cell>
          <cell r="AA33" t="str">
            <v>通常体系</v>
          </cell>
          <cell r="AB33" t="str">
            <v>×</v>
          </cell>
          <cell r="AE33" t="str">
            <v>35日前</v>
          </cell>
          <cell r="AF33">
            <v>39944</v>
          </cell>
          <cell r="AG33">
            <v>40065</v>
          </cell>
          <cell r="AH33">
            <v>39961</v>
          </cell>
          <cell r="AI33">
            <v>40096</v>
          </cell>
          <cell r="AJ33" t="str">
            <v>700→600</v>
          </cell>
          <cell r="AK33">
            <v>573</v>
          </cell>
          <cell r="AL33">
            <v>19</v>
          </cell>
          <cell r="AM33">
            <v>1</v>
          </cell>
          <cell r="AN33" t="str">
            <v>無償</v>
          </cell>
          <cell r="AO33" t="str">
            <v>通常体系</v>
          </cell>
          <cell r="AP33" t="str">
            <v>×</v>
          </cell>
        </row>
        <row r="34">
          <cell r="H34" t="str">
            <v>0：通常</v>
          </cell>
          <cell r="I34">
            <v>0</v>
          </cell>
          <cell r="J34" t="str">
            <v>B4</v>
          </cell>
          <cell r="K34">
            <v>16</v>
          </cell>
          <cell r="L34">
            <v>5</v>
          </cell>
          <cell r="M34" t="str">
            <v>盛夏</v>
          </cell>
          <cell r="N34">
            <v>39979</v>
          </cell>
          <cell r="O34">
            <v>40061</v>
          </cell>
          <cell r="P34">
            <v>83</v>
          </cell>
          <cell r="Q34" t="str">
            <v>35日前</v>
          </cell>
          <cell r="R34">
            <v>39944</v>
          </cell>
          <cell r="S34">
            <v>40065</v>
          </cell>
          <cell r="T34">
            <v>39961</v>
          </cell>
          <cell r="U34">
            <v>40096</v>
          </cell>
          <cell r="V34">
            <v>700</v>
          </cell>
          <cell r="W34">
            <v>656</v>
          </cell>
          <cell r="X34">
            <v>4</v>
          </cell>
          <cell r="Y34">
            <v>1</v>
          </cell>
          <cell r="Z34" t="str">
            <v>無償</v>
          </cell>
          <cell r="AA34" t="str">
            <v>通常体系</v>
          </cell>
          <cell r="AB34" t="str">
            <v>○</v>
          </cell>
          <cell r="AE34" t="str">
            <v>35日前</v>
          </cell>
          <cell r="AF34">
            <v>39944</v>
          </cell>
          <cell r="AG34">
            <v>40065</v>
          </cell>
          <cell r="AH34">
            <v>39961</v>
          </cell>
          <cell r="AI34">
            <v>40096</v>
          </cell>
          <cell r="AJ34">
            <v>700</v>
          </cell>
          <cell r="AK34">
            <v>656</v>
          </cell>
          <cell r="AL34">
            <v>4</v>
          </cell>
          <cell r="AM34">
            <v>1</v>
          </cell>
          <cell r="AN34" t="str">
            <v>無償</v>
          </cell>
          <cell r="AO34" t="str">
            <v>通常体系</v>
          </cell>
          <cell r="AP34" t="str">
            <v>○</v>
          </cell>
        </row>
        <row r="35">
          <cell r="H35" t="str">
            <v>1：新枠</v>
          </cell>
          <cell r="I35">
            <v>1</v>
          </cell>
          <cell r="J35" t="str">
            <v>B4</v>
          </cell>
          <cell r="K35">
            <v>8</v>
          </cell>
          <cell r="L35">
            <v>5</v>
          </cell>
          <cell r="M35" t="str">
            <v>盛夏</v>
          </cell>
          <cell r="N35">
            <v>39979</v>
          </cell>
          <cell r="O35">
            <v>40075</v>
          </cell>
          <cell r="P35">
            <v>97</v>
          </cell>
          <cell r="Q35" t="str">
            <v>35日前</v>
          </cell>
          <cell r="R35">
            <v>39944</v>
          </cell>
          <cell r="S35">
            <v>40079</v>
          </cell>
          <cell r="T35">
            <v>39961</v>
          </cell>
          <cell r="U35">
            <v>40110</v>
          </cell>
          <cell r="V35">
            <v>400</v>
          </cell>
          <cell r="W35">
            <v>295</v>
          </cell>
          <cell r="X35">
            <v>15</v>
          </cell>
          <cell r="Y35">
            <v>1</v>
          </cell>
          <cell r="Z35" t="str">
            <v>無償</v>
          </cell>
          <cell r="AA35" t="str">
            <v>通常体系</v>
          </cell>
          <cell r="AB35" t="str">
            <v>×</v>
          </cell>
          <cell r="AE35" t="str">
            <v>35日前</v>
          </cell>
          <cell r="AF35">
            <v>39944</v>
          </cell>
          <cell r="AG35">
            <v>40079</v>
          </cell>
          <cell r="AH35">
            <v>39961</v>
          </cell>
          <cell r="AI35">
            <v>40110</v>
          </cell>
          <cell r="AJ35">
            <v>400</v>
          </cell>
          <cell r="AK35">
            <v>295</v>
          </cell>
          <cell r="AL35">
            <v>15</v>
          </cell>
          <cell r="AM35">
            <v>1</v>
          </cell>
          <cell r="AN35" t="str">
            <v>無償</v>
          </cell>
          <cell r="AO35" t="str">
            <v>通常体系</v>
          </cell>
          <cell r="AP35" t="str">
            <v>×</v>
          </cell>
        </row>
        <row r="36">
          <cell r="H36" t="str">
            <v>0：通常</v>
          </cell>
          <cell r="I36">
            <v>0</v>
          </cell>
          <cell r="J36" t="str">
            <v>B4</v>
          </cell>
          <cell r="K36">
            <v>16</v>
          </cell>
          <cell r="L36">
            <v>5</v>
          </cell>
          <cell r="M36" t="str">
            <v>盛夏</v>
          </cell>
          <cell r="N36">
            <v>39993</v>
          </cell>
          <cell r="O36">
            <v>40082</v>
          </cell>
          <cell r="P36">
            <v>90</v>
          </cell>
          <cell r="Q36" t="str">
            <v>35日前</v>
          </cell>
          <cell r="R36">
            <v>39958</v>
          </cell>
          <cell r="S36">
            <v>40086</v>
          </cell>
          <cell r="T36">
            <v>39975</v>
          </cell>
          <cell r="U36">
            <v>40117</v>
          </cell>
          <cell r="V36">
            <v>800</v>
          </cell>
          <cell r="W36">
            <v>715</v>
          </cell>
          <cell r="X36">
            <v>19</v>
          </cell>
          <cell r="Y36">
            <v>1</v>
          </cell>
          <cell r="Z36" t="str">
            <v>無償</v>
          </cell>
          <cell r="AA36" t="str">
            <v>通常体系</v>
          </cell>
          <cell r="AB36" t="str">
            <v>×</v>
          </cell>
          <cell r="AE36" t="str">
            <v>35日前</v>
          </cell>
          <cell r="AF36">
            <v>39958</v>
          </cell>
          <cell r="AG36">
            <v>40086</v>
          </cell>
          <cell r="AH36">
            <v>39975</v>
          </cell>
          <cell r="AI36">
            <v>40117</v>
          </cell>
          <cell r="AJ36">
            <v>800</v>
          </cell>
          <cell r="AK36">
            <v>715</v>
          </cell>
          <cell r="AL36">
            <v>19</v>
          </cell>
          <cell r="AM36">
            <v>1</v>
          </cell>
          <cell r="AN36" t="str">
            <v>無償</v>
          </cell>
          <cell r="AO36" t="str">
            <v>通常体系</v>
          </cell>
          <cell r="AP36" t="str">
            <v>×</v>
          </cell>
        </row>
        <row r="37">
          <cell r="H37" t="str">
            <v>1：新枠</v>
          </cell>
          <cell r="I37">
            <v>1</v>
          </cell>
          <cell r="J37" t="str">
            <v>B4</v>
          </cell>
          <cell r="K37">
            <v>16</v>
          </cell>
          <cell r="L37">
            <v>2</v>
          </cell>
          <cell r="M37" t="str">
            <v>盛夏</v>
          </cell>
          <cell r="N37">
            <v>39979</v>
          </cell>
          <cell r="O37">
            <v>40061</v>
          </cell>
          <cell r="P37">
            <v>83</v>
          </cell>
          <cell r="Q37" t="str">
            <v>35日前</v>
          </cell>
          <cell r="R37">
            <v>39944</v>
          </cell>
          <cell r="S37">
            <v>40065</v>
          </cell>
          <cell r="T37">
            <v>39961</v>
          </cell>
          <cell r="U37">
            <v>40096</v>
          </cell>
          <cell r="V37">
            <v>800</v>
          </cell>
          <cell r="W37">
            <v>735</v>
          </cell>
          <cell r="X37">
            <v>2</v>
          </cell>
          <cell r="Y37">
            <v>1</v>
          </cell>
          <cell r="Z37" t="str">
            <v>無償</v>
          </cell>
          <cell r="AA37" t="str">
            <v>通常体系</v>
          </cell>
          <cell r="AB37" t="str">
            <v>×</v>
          </cell>
          <cell r="AE37" t="str">
            <v>35日前</v>
          </cell>
          <cell r="AF37">
            <v>39944</v>
          </cell>
          <cell r="AG37">
            <v>40065</v>
          </cell>
          <cell r="AH37">
            <v>39961</v>
          </cell>
          <cell r="AI37">
            <v>40096</v>
          </cell>
          <cell r="AJ37">
            <v>800</v>
          </cell>
          <cell r="AK37">
            <v>735</v>
          </cell>
          <cell r="AL37">
            <v>2</v>
          </cell>
          <cell r="AM37">
            <v>1</v>
          </cell>
          <cell r="AN37" t="str">
            <v>無償</v>
          </cell>
          <cell r="AO37" t="str">
            <v>通常体系</v>
          </cell>
          <cell r="AP37" t="str">
            <v>×</v>
          </cell>
        </row>
        <row r="38">
          <cell r="H38" t="str">
            <v>0：通常</v>
          </cell>
          <cell r="I38">
            <v>0</v>
          </cell>
          <cell r="J38" t="str">
            <v>B4</v>
          </cell>
          <cell r="K38">
            <v>16</v>
          </cell>
          <cell r="L38">
            <v>3</v>
          </cell>
          <cell r="M38" t="str">
            <v>秋</v>
          </cell>
          <cell r="N38">
            <v>40035</v>
          </cell>
          <cell r="O38">
            <v>40152</v>
          </cell>
          <cell r="P38">
            <v>118</v>
          </cell>
          <cell r="Q38" t="str">
            <v>35日前</v>
          </cell>
          <cell r="R38">
            <v>40000</v>
          </cell>
          <cell r="S38">
            <v>40156</v>
          </cell>
          <cell r="T38">
            <v>40017</v>
          </cell>
          <cell r="U38">
            <v>40187</v>
          </cell>
          <cell r="V38" t="str">
            <v>600→500</v>
          </cell>
          <cell r="W38">
            <v>385</v>
          </cell>
          <cell r="X38">
            <v>21</v>
          </cell>
          <cell r="Y38">
            <v>1</v>
          </cell>
          <cell r="Z38" t="str">
            <v>無償</v>
          </cell>
          <cell r="AA38" t="str">
            <v>通常体系</v>
          </cell>
          <cell r="AB38" t="str">
            <v>×</v>
          </cell>
          <cell r="AE38" t="str">
            <v>35日前</v>
          </cell>
          <cell r="AF38">
            <v>40000</v>
          </cell>
          <cell r="AG38">
            <v>40156</v>
          </cell>
          <cell r="AH38">
            <v>40017</v>
          </cell>
          <cell r="AI38">
            <v>40187</v>
          </cell>
          <cell r="AJ38" t="str">
            <v>600→500</v>
          </cell>
          <cell r="AK38">
            <v>385</v>
          </cell>
          <cell r="AL38">
            <v>21</v>
          </cell>
          <cell r="AM38">
            <v>1</v>
          </cell>
          <cell r="AN38" t="str">
            <v>無償</v>
          </cell>
          <cell r="AO38" t="str">
            <v>通常体系</v>
          </cell>
          <cell r="AP38" t="str">
            <v>×</v>
          </cell>
        </row>
        <row r="39">
          <cell r="H39" t="str">
            <v>0：通常</v>
          </cell>
          <cell r="I39">
            <v>0</v>
          </cell>
          <cell r="J39" t="str">
            <v>B4</v>
          </cell>
          <cell r="K39">
            <v>16</v>
          </cell>
          <cell r="L39">
            <v>3</v>
          </cell>
          <cell r="M39" t="str">
            <v>秋</v>
          </cell>
          <cell r="N39">
            <v>40035</v>
          </cell>
          <cell r="O39">
            <v>40131</v>
          </cell>
          <cell r="P39">
            <v>97</v>
          </cell>
          <cell r="Q39" t="str">
            <v>35日前</v>
          </cell>
          <cell r="R39">
            <v>40000</v>
          </cell>
          <cell r="S39">
            <v>40135</v>
          </cell>
          <cell r="T39">
            <v>40017</v>
          </cell>
          <cell r="U39">
            <v>40166</v>
          </cell>
          <cell r="V39">
            <v>600</v>
          </cell>
          <cell r="W39">
            <v>519</v>
          </cell>
          <cell r="X39">
            <v>4</v>
          </cell>
          <cell r="Y39">
            <v>1</v>
          </cell>
          <cell r="Z39" t="str">
            <v>無償</v>
          </cell>
          <cell r="AA39" t="str">
            <v>通常体系</v>
          </cell>
          <cell r="AB39" t="str">
            <v>○</v>
          </cell>
          <cell r="AE39" t="str">
            <v>35日前</v>
          </cell>
          <cell r="AF39">
            <v>40000</v>
          </cell>
          <cell r="AG39">
            <v>40135</v>
          </cell>
          <cell r="AH39">
            <v>40017</v>
          </cell>
          <cell r="AI39">
            <v>40166</v>
          </cell>
          <cell r="AJ39">
            <v>600</v>
          </cell>
          <cell r="AK39">
            <v>519</v>
          </cell>
          <cell r="AL39">
            <v>4</v>
          </cell>
          <cell r="AM39">
            <v>1</v>
          </cell>
          <cell r="AN39" t="str">
            <v>無償</v>
          </cell>
          <cell r="AO39" t="str">
            <v>通常体系</v>
          </cell>
          <cell r="AP39" t="str">
            <v>○</v>
          </cell>
        </row>
        <row r="40">
          <cell r="H40" t="str">
            <v>0：通常</v>
          </cell>
          <cell r="I40">
            <v>0</v>
          </cell>
          <cell r="J40" t="str">
            <v>B4</v>
          </cell>
          <cell r="K40">
            <v>16</v>
          </cell>
          <cell r="L40">
            <v>3</v>
          </cell>
          <cell r="M40" t="str">
            <v>秋</v>
          </cell>
          <cell r="N40">
            <v>40035</v>
          </cell>
          <cell r="O40">
            <v>40124</v>
          </cell>
          <cell r="P40">
            <v>90</v>
          </cell>
          <cell r="Q40" t="str">
            <v>35日前</v>
          </cell>
          <cell r="R40">
            <v>40000</v>
          </cell>
          <cell r="S40">
            <v>40128</v>
          </cell>
          <cell r="T40">
            <v>40017</v>
          </cell>
          <cell r="U40">
            <v>40159</v>
          </cell>
          <cell r="V40" t="str">
            <v>800→900</v>
          </cell>
          <cell r="W40">
            <v>802</v>
          </cell>
          <cell r="X40">
            <v>2</v>
          </cell>
          <cell r="Y40">
            <v>1</v>
          </cell>
          <cell r="Z40" t="str">
            <v>無償</v>
          </cell>
          <cell r="AA40" t="str">
            <v>通常体系</v>
          </cell>
          <cell r="AB40" t="str">
            <v>×</v>
          </cell>
          <cell r="AE40" t="str">
            <v>35日前</v>
          </cell>
          <cell r="AF40">
            <v>40000</v>
          </cell>
          <cell r="AG40">
            <v>40128</v>
          </cell>
          <cell r="AH40">
            <v>40017</v>
          </cell>
          <cell r="AI40">
            <v>40159</v>
          </cell>
          <cell r="AJ40" t="str">
            <v>800→900</v>
          </cell>
          <cell r="AK40">
            <v>802</v>
          </cell>
          <cell r="AL40">
            <v>2</v>
          </cell>
          <cell r="AM40">
            <v>1</v>
          </cell>
          <cell r="AN40" t="str">
            <v>無償</v>
          </cell>
          <cell r="AO40" t="str">
            <v>通常体系</v>
          </cell>
          <cell r="AP40" t="str">
            <v>×</v>
          </cell>
        </row>
        <row r="41">
          <cell r="H41" t="str">
            <v>0：通常</v>
          </cell>
          <cell r="I41">
            <v>0</v>
          </cell>
          <cell r="J41" t="str">
            <v>B4</v>
          </cell>
          <cell r="K41">
            <v>16</v>
          </cell>
          <cell r="L41">
            <v>3</v>
          </cell>
          <cell r="M41" t="str">
            <v>秋</v>
          </cell>
          <cell r="N41">
            <v>40035</v>
          </cell>
          <cell r="O41">
            <v>40145</v>
          </cell>
          <cell r="P41">
            <v>111</v>
          </cell>
          <cell r="Q41" t="str">
            <v>35日前</v>
          </cell>
          <cell r="R41">
            <v>40000</v>
          </cell>
          <cell r="S41">
            <v>40149</v>
          </cell>
          <cell r="T41">
            <v>40017</v>
          </cell>
          <cell r="U41">
            <v>40180</v>
          </cell>
          <cell r="V41">
            <v>1000</v>
          </cell>
          <cell r="W41">
            <v>976</v>
          </cell>
          <cell r="X41">
            <v>25</v>
          </cell>
          <cell r="Y41">
            <v>1</v>
          </cell>
          <cell r="Z41" t="str">
            <v>無償</v>
          </cell>
          <cell r="AA41" t="str">
            <v>通常体系</v>
          </cell>
          <cell r="AB41" t="str">
            <v>×</v>
          </cell>
          <cell r="AE41" t="str">
            <v>35日前</v>
          </cell>
          <cell r="AF41">
            <v>40000</v>
          </cell>
          <cell r="AG41">
            <v>40149</v>
          </cell>
          <cell r="AH41">
            <v>40017</v>
          </cell>
          <cell r="AI41">
            <v>40180</v>
          </cell>
          <cell r="AJ41">
            <v>1000</v>
          </cell>
          <cell r="AK41">
            <v>976</v>
          </cell>
          <cell r="AL41">
            <v>25</v>
          </cell>
          <cell r="AM41">
            <v>1</v>
          </cell>
          <cell r="AN41" t="str">
            <v>無償</v>
          </cell>
          <cell r="AO41" t="str">
            <v>通常体系</v>
          </cell>
          <cell r="AP41" t="str">
            <v>×</v>
          </cell>
        </row>
        <row r="42">
          <cell r="H42" t="str">
            <v>0：通常</v>
          </cell>
          <cell r="I42">
            <v>0</v>
          </cell>
          <cell r="J42" t="str">
            <v>B4</v>
          </cell>
          <cell r="K42">
            <v>16</v>
          </cell>
          <cell r="L42">
            <v>3</v>
          </cell>
          <cell r="M42" t="str">
            <v>秋</v>
          </cell>
          <cell r="N42">
            <v>40042</v>
          </cell>
          <cell r="O42">
            <v>40138</v>
          </cell>
          <cell r="P42">
            <v>97</v>
          </cell>
          <cell r="Q42" t="str">
            <v>35日前</v>
          </cell>
          <cell r="R42">
            <v>40007</v>
          </cell>
          <cell r="S42">
            <v>40142</v>
          </cell>
          <cell r="T42">
            <v>40024</v>
          </cell>
          <cell r="U42">
            <v>40173</v>
          </cell>
          <cell r="V42" t="str">
            <v>800→900</v>
          </cell>
          <cell r="W42">
            <v>900</v>
          </cell>
          <cell r="X42">
            <v>15</v>
          </cell>
          <cell r="Y42">
            <v>1</v>
          </cell>
          <cell r="Z42" t="str">
            <v>無償</v>
          </cell>
          <cell r="AA42" t="str">
            <v>通常体系</v>
          </cell>
          <cell r="AB42" t="str">
            <v>×</v>
          </cell>
          <cell r="AE42" t="str">
            <v>35日前</v>
          </cell>
          <cell r="AF42">
            <v>40007</v>
          </cell>
          <cell r="AG42">
            <v>40142</v>
          </cell>
          <cell r="AH42">
            <v>40024</v>
          </cell>
          <cell r="AI42">
            <v>40173</v>
          </cell>
          <cell r="AJ42" t="str">
            <v>800→900</v>
          </cell>
          <cell r="AK42">
            <v>900</v>
          </cell>
          <cell r="AL42">
            <v>15</v>
          </cell>
          <cell r="AM42">
            <v>1</v>
          </cell>
          <cell r="AN42" t="str">
            <v>無償</v>
          </cell>
          <cell r="AO42" t="str">
            <v>通常体系</v>
          </cell>
          <cell r="AP42" t="str">
            <v>×</v>
          </cell>
        </row>
        <row r="43">
          <cell r="H43" t="str">
            <v>3：増枠</v>
          </cell>
          <cell r="I43">
            <v>3</v>
          </cell>
          <cell r="J43" t="str">
            <v>A4</v>
          </cell>
          <cell r="K43">
            <v>159</v>
          </cell>
          <cell r="L43">
            <v>3</v>
          </cell>
          <cell r="M43" t="str">
            <v>秋</v>
          </cell>
          <cell r="N43">
            <v>40042</v>
          </cell>
          <cell r="O43">
            <v>40187</v>
          </cell>
          <cell r="P43">
            <v>146</v>
          </cell>
          <cell r="Q43" t="str">
            <v>35日前</v>
          </cell>
          <cell r="R43">
            <v>40007</v>
          </cell>
          <cell r="S43">
            <v>40191</v>
          </cell>
          <cell r="T43">
            <v>40024</v>
          </cell>
          <cell r="U43">
            <v>40222</v>
          </cell>
          <cell r="V43" t="str">
            <v>3500→3600</v>
          </cell>
          <cell r="W43">
            <v>3529</v>
          </cell>
          <cell r="X43">
            <v>1</v>
          </cell>
          <cell r="Y43">
            <v>1</v>
          </cell>
          <cell r="Z43" t="str">
            <v>無償</v>
          </cell>
          <cell r="AA43" t="str">
            <v>通常体系</v>
          </cell>
          <cell r="AB43" t="str">
            <v>○</v>
          </cell>
          <cell r="AE43" t="str">
            <v>35日前</v>
          </cell>
          <cell r="AF43">
            <v>40007</v>
          </cell>
          <cell r="AG43">
            <v>40191</v>
          </cell>
          <cell r="AH43">
            <v>40024</v>
          </cell>
          <cell r="AI43">
            <v>40222</v>
          </cell>
          <cell r="AJ43" t="str">
            <v>3500→3600</v>
          </cell>
          <cell r="AK43">
            <v>3529</v>
          </cell>
          <cell r="AL43">
            <v>1</v>
          </cell>
          <cell r="AM43">
            <v>1</v>
          </cell>
          <cell r="AN43" t="str">
            <v>無償</v>
          </cell>
          <cell r="AO43" t="str">
            <v>通常体系</v>
          </cell>
          <cell r="AP43" t="str">
            <v>○</v>
          </cell>
        </row>
        <row r="44">
          <cell r="H44" t="str">
            <v>3：増枠</v>
          </cell>
          <cell r="I44">
            <v>3</v>
          </cell>
          <cell r="J44" t="str">
            <v>A4変型版</v>
          </cell>
          <cell r="K44">
            <v>95</v>
          </cell>
          <cell r="L44">
            <v>3</v>
          </cell>
          <cell r="M44" t="str">
            <v>秋</v>
          </cell>
          <cell r="N44">
            <v>40042</v>
          </cell>
          <cell r="O44">
            <v>40124</v>
          </cell>
          <cell r="P44">
            <v>83</v>
          </cell>
          <cell r="Q44" t="str">
            <v>35日前</v>
          </cell>
          <cell r="R44">
            <v>40007</v>
          </cell>
          <cell r="S44">
            <v>40128</v>
          </cell>
          <cell r="T44">
            <v>40024</v>
          </cell>
          <cell r="U44">
            <v>40159</v>
          </cell>
          <cell r="V44" t="str">
            <v>3700→3800</v>
          </cell>
          <cell r="W44">
            <v>3760</v>
          </cell>
          <cell r="X44">
            <v>1</v>
          </cell>
          <cell r="Y44">
            <v>1</v>
          </cell>
          <cell r="Z44" t="str">
            <v>無償</v>
          </cell>
          <cell r="AA44" t="str">
            <v>通常体系</v>
          </cell>
          <cell r="AB44" t="str">
            <v>○</v>
          </cell>
          <cell r="AE44" t="str">
            <v>35日前</v>
          </cell>
          <cell r="AF44">
            <v>40007</v>
          </cell>
          <cell r="AG44">
            <v>40128</v>
          </cell>
          <cell r="AH44">
            <v>40024</v>
          </cell>
          <cell r="AI44">
            <v>40159</v>
          </cell>
          <cell r="AJ44" t="str">
            <v>3700→3800</v>
          </cell>
          <cell r="AK44">
            <v>3760</v>
          </cell>
          <cell r="AL44">
            <v>1</v>
          </cell>
          <cell r="AM44">
            <v>1</v>
          </cell>
          <cell r="AN44" t="str">
            <v>無償</v>
          </cell>
          <cell r="AO44" t="str">
            <v>通常体系</v>
          </cell>
          <cell r="AP44" t="str">
            <v>○</v>
          </cell>
        </row>
        <row r="45">
          <cell r="H45" t="str">
            <v>1：新枠</v>
          </cell>
          <cell r="I45">
            <v>1</v>
          </cell>
          <cell r="J45" t="str">
            <v>B4</v>
          </cell>
          <cell r="K45">
            <v>16</v>
          </cell>
          <cell r="L45">
            <v>3</v>
          </cell>
          <cell r="M45" t="str">
            <v>秋</v>
          </cell>
          <cell r="N45">
            <v>40042</v>
          </cell>
          <cell r="O45">
            <v>40110</v>
          </cell>
          <cell r="P45">
            <v>69</v>
          </cell>
          <cell r="Q45" t="str">
            <v>35日前</v>
          </cell>
          <cell r="R45">
            <v>40007</v>
          </cell>
          <cell r="S45">
            <v>40114</v>
          </cell>
          <cell r="T45">
            <v>40024</v>
          </cell>
          <cell r="U45">
            <v>40145</v>
          </cell>
          <cell r="V45" t="str">
            <v>100→200</v>
          </cell>
          <cell r="W45">
            <v>114</v>
          </cell>
          <cell r="X45">
            <v>2</v>
          </cell>
          <cell r="Y45">
            <v>1</v>
          </cell>
          <cell r="Z45" t="str">
            <v>無償</v>
          </cell>
          <cell r="AA45" t="str">
            <v>通常体系</v>
          </cell>
          <cell r="AB45" t="str">
            <v>×</v>
          </cell>
          <cell r="AE45" t="str">
            <v>35日前</v>
          </cell>
          <cell r="AF45">
            <v>40007</v>
          </cell>
          <cell r="AG45">
            <v>40114</v>
          </cell>
          <cell r="AH45">
            <v>40024</v>
          </cell>
          <cell r="AI45">
            <v>40145</v>
          </cell>
          <cell r="AJ45" t="str">
            <v>100→200</v>
          </cell>
          <cell r="AK45">
            <v>114</v>
          </cell>
          <cell r="AL45">
            <v>2</v>
          </cell>
          <cell r="AM45">
            <v>1</v>
          </cell>
          <cell r="AN45" t="str">
            <v>無償</v>
          </cell>
          <cell r="AO45" t="str">
            <v>通常体系</v>
          </cell>
          <cell r="AP45" t="str">
            <v>×</v>
          </cell>
        </row>
        <row r="46">
          <cell r="H46" t="str">
            <v>0：通常</v>
          </cell>
          <cell r="I46">
            <v>0</v>
          </cell>
          <cell r="J46" t="str">
            <v>B4</v>
          </cell>
          <cell r="K46">
            <v>16</v>
          </cell>
          <cell r="L46">
            <v>3</v>
          </cell>
          <cell r="M46" t="str">
            <v>秋</v>
          </cell>
          <cell r="N46">
            <v>40049</v>
          </cell>
          <cell r="O46">
            <v>40138</v>
          </cell>
          <cell r="P46">
            <v>90</v>
          </cell>
          <cell r="Q46" t="str">
            <v>35日前</v>
          </cell>
          <cell r="R46">
            <v>40014</v>
          </cell>
          <cell r="S46">
            <v>40142</v>
          </cell>
          <cell r="T46">
            <v>40031</v>
          </cell>
          <cell r="U46">
            <v>40173</v>
          </cell>
          <cell r="V46">
            <v>1400</v>
          </cell>
          <cell r="W46">
            <v>1398</v>
          </cell>
          <cell r="X46">
            <v>4</v>
          </cell>
          <cell r="Y46">
            <v>1</v>
          </cell>
          <cell r="Z46" t="str">
            <v>無償</v>
          </cell>
          <cell r="AA46" t="str">
            <v>通常体系</v>
          </cell>
          <cell r="AB46" t="str">
            <v>○</v>
          </cell>
          <cell r="AE46" t="str">
            <v>35日前</v>
          </cell>
          <cell r="AF46">
            <v>40014</v>
          </cell>
          <cell r="AG46">
            <v>40142</v>
          </cell>
          <cell r="AH46">
            <v>40031</v>
          </cell>
          <cell r="AI46">
            <v>40173</v>
          </cell>
          <cell r="AJ46">
            <v>1400</v>
          </cell>
          <cell r="AK46">
            <v>1398</v>
          </cell>
          <cell r="AL46">
            <v>4</v>
          </cell>
          <cell r="AM46">
            <v>1</v>
          </cell>
          <cell r="AN46" t="str">
            <v>無償</v>
          </cell>
          <cell r="AO46" t="str">
            <v>通常体系</v>
          </cell>
          <cell r="AP46" t="str">
            <v>○</v>
          </cell>
        </row>
        <row r="47">
          <cell r="H47" t="str">
            <v>1：新枠</v>
          </cell>
          <cell r="I47">
            <v>1</v>
          </cell>
          <cell r="J47" t="str">
            <v>B4</v>
          </cell>
          <cell r="K47">
            <v>16</v>
          </cell>
          <cell r="L47">
            <v>3</v>
          </cell>
          <cell r="M47" t="str">
            <v>秋</v>
          </cell>
          <cell r="N47">
            <v>40056</v>
          </cell>
          <cell r="O47">
            <v>40145</v>
          </cell>
          <cell r="P47">
            <v>90</v>
          </cell>
          <cell r="Q47" t="str">
            <v>35日前</v>
          </cell>
          <cell r="R47">
            <v>40021</v>
          </cell>
          <cell r="S47">
            <v>40149</v>
          </cell>
          <cell r="T47">
            <v>40038</v>
          </cell>
          <cell r="U47">
            <v>40180</v>
          </cell>
          <cell r="V47">
            <v>400</v>
          </cell>
          <cell r="W47">
            <v>330</v>
          </cell>
          <cell r="X47">
            <v>4</v>
          </cell>
          <cell r="Y47">
            <v>1</v>
          </cell>
          <cell r="Z47" t="str">
            <v>無償</v>
          </cell>
          <cell r="AA47" t="str">
            <v>通常体系</v>
          </cell>
          <cell r="AB47" t="str">
            <v>○</v>
          </cell>
          <cell r="AE47" t="str">
            <v>35日前</v>
          </cell>
          <cell r="AF47">
            <v>40021</v>
          </cell>
          <cell r="AG47">
            <v>40149</v>
          </cell>
          <cell r="AH47">
            <v>40038</v>
          </cell>
          <cell r="AI47">
            <v>40180</v>
          </cell>
          <cell r="AJ47">
            <v>400</v>
          </cell>
          <cell r="AK47">
            <v>330</v>
          </cell>
          <cell r="AL47">
            <v>4</v>
          </cell>
          <cell r="AM47">
            <v>1</v>
          </cell>
          <cell r="AN47" t="str">
            <v>無償</v>
          </cell>
          <cell r="AO47" t="str">
            <v>通常体系</v>
          </cell>
          <cell r="AP47" t="str">
            <v>○</v>
          </cell>
        </row>
        <row r="48">
          <cell r="H48" t="str">
            <v>1：新枠</v>
          </cell>
          <cell r="I48">
            <v>1</v>
          </cell>
          <cell r="J48" t="str">
            <v>A4変型版</v>
          </cell>
          <cell r="K48">
            <v>57</v>
          </cell>
          <cell r="L48">
            <v>3</v>
          </cell>
          <cell r="M48" t="str">
            <v>秋</v>
          </cell>
          <cell r="N48">
            <v>40056</v>
          </cell>
          <cell r="O48">
            <v>40166</v>
          </cell>
          <cell r="P48">
            <v>111</v>
          </cell>
          <cell r="Q48" t="str">
            <v>35日前</v>
          </cell>
          <cell r="R48">
            <v>40021</v>
          </cell>
          <cell r="S48">
            <v>40170</v>
          </cell>
          <cell r="T48">
            <v>40038</v>
          </cell>
          <cell r="U48">
            <v>40201</v>
          </cell>
          <cell r="V48">
            <v>800</v>
          </cell>
          <cell r="W48">
            <v>779</v>
          </cell>
          <cell r="X48">
            <v>98</v>
          </cell>
          <cell r="Y48">
            <v>1</v>
          </cell>
          <cell r="Z48" t="str">
            <v>無償</v>
          </cell>
          <cell r="AA48" t="str">
            <v>通常体系</v>
          </cell>
          <cell r="AB48" t="str">
            <v>×</v>
          </cell>
          <cell r="AE48" t="str">
            <v>35日前</v>
          </cell>
          <cell r="AF48">
            <v>40021</v>
          </cell>
          <cell r="AG48">
            <v>40170</v>
          </cell>
          <cell r="AH48">
            <v>40038</v>
          </cell>
          <cell r="AI48">
            <v>40201</v>
          </cell>
          <cell r="AJ48">
            <v>800</v>
          </cell>
          <cell r="AK48">
            <v>779</v>
          </cell>
          <cell r="AL48">
            <v>98</v>
          </cell>
          <cell r="AM48">
            <v>1</v>
          </cell>
          <cell r="AN48" t="str">
            <v>無償</v>
          </cell>
          <cell r="AO48" t="str">
            <v>通常体系</v>
          </cell>
          <cell r="AP48" t="str">
            <v>×</v>
          </cell>
        </row>
        <row r="49">
          <cell r="H49" t="str">
            <v>1：新枠</v>
          </cell>
          <cell r="I49">
            <v>1</v>
          </cell>
          <cell r="J49" t="str">
            <v>A4変型版</v>
          </cell>
          <cell r="K49">
            <v>6</v>
          </cell>
          <cell r="L49">
            <v>3</v>
          </cell>
          <cell r="M49" t="str">
            <v>秋</v>
          </cell>
          <cell r="N49">
            <v>40056</v>
          </cell>
          <cell r="O49">
            <v>40418</v>
          </cell>
          <cell r="P49">
            <v>363</v>
          </cell>
          <cell r="Q49" t="str">
            <v>35日前</v>
          </cell>
          <cell r="R49">
            <v>40021</v>
          </cell>
          <cell r="S49">
            <v>40422</v>
          </cell>
          <cell r="T49">
            <v>40038</v>
          </cell>
          <cell r="U49">
            <v>40453</v>
          </cell>
          <cell r="V49">
            <v>100</v>
          </cell>
          <cell r="W49">
            <v>43</v>
          </cell>
          <cell r="X49">
            <v>98</v>
          </cell>
          <cell r="Y49">
            <v>1</v>
          </cell>
          <cell r="Z49" t="str">
            <v>無償</v>
          </cell>
          <cell r="AA49" t="str">
            <v>通常体系</v>
          </cell>
          <cell r="AB49" t="str">
            <v>×</v>
          </cell>
          <cell r="AE49" t="str">
            <v>35日前</v>
          </cell>
          <cell r="AF49">
            <v>40021</v>
          </cell>
          <cell r="AG49">
            <v>40422</v>
          </cell>
          <cell r="AH49">
            <v>40038</v>
          </cell>
          <cell r="AI49">
            <v>40453</v>
          </cell>
          <cell r="AJ49">
            <v>100</v>
          </cell>
          <cell r="AK49">
            <v>43</v>
          </cell>
          <cell r="AL49">
            <v>98</v>
          </cell>
          <cell r="AM49">
            <v>1</v>
          </cell>
          <cell r="AN49" t="str">
            <v>無償</v>
          </cell>
          <cell r="AO49" t="str">
            <v>通常体系</v>
          </cell>
          <cell r="AP49" t="str">
            <v>×</v>
          </cell>
        </row>
        <row r="50">
          <cell r="H50" t="str">
            <v>0：通常</v>
          </cell>
          <cell r="I50">
            <v>0</v>
          </cell>
          <cell r="J50" t="str">
            <v>B4</v>
          </cell>
          <cell r="K50">
            <v>16</v>
          </cell>
          <cell r="L50">
            <v>3</v>
          </cell>
          <cell r="M50" t="str">
            <v>秋</v>
          </cell>
          <cell r="N50">
            <v>40056</v>
          </cell>
          <cell r="O50">
            <v>40159</v>
          </cell>
          <cell r="P50">
            <v>104</v>
          </cell>
          <cell r="Q50" t="str">
            <v>35日前</v>
          </cell>
          <cell r="R50">
            <v>40021</v>
          </cell>
          <cell r="S50">
            <v>40163</v>
          </cell>
          <cell r="T50">
            <v>40038</v>
          </cell>
          <cell r="U50">
            <v>40194</v>
          </cell>
          <cell r="V50">
            <v>1300</v>
          </cell>
          <cell r="W50">
            <v>1223</v>
          </cell>
          <cell r="X50">
            <v>14</v>
          </cell>
          <cell r="Y50">
            <v>1</v>
          </cell>
          <cell r="Z50" t="str">
            <v>無償</v>
          </cell>
          <cell r="AA50" t="str">
            <v>通常体系</v>
          </cell>
          <cell r="AB50" t="str">
            <v>×</v>
          </cell>
          <cell r="AE50" t="str">
            <v>35日前</v>
          </cell>
          <cell r="AF50">
            <v>40021</v>
          </cell>
          <cell r="AG50">
            <v>40163</v>
          </cell>
          <cell r="AH50">
            <v>40038</v>
          </cell>
          <cell r="AI50">
            <v>40194</v>
          </cell>
          <cell r="AJ50">
            <v>1300</v>
          </cell>
          <cell r="AK50">
            <v>1223</v>
          </cell>
          <cell r="AL50">
            <v>14</v>
          </cell>
          <cell r="AM50">
            <v>1</v>
          </cell>
          <cell r="AN50" t="str">
            <v>無償</v>
          </cell>
          <cell r="AO50" t="str">
            <v>通常体系</v>
          </cell>
          <cell r="AP50" t="str">
            <v>×</v>
          </cell>
        </row>
        <row r="51">
          <cell r="H51" t="str">
            <v>1：新枠</v>
          </cell>
          <cell r="I51">
            <v>1</v>
          </cell>
          <cell r="J51" t="str">
            <v>B4</v>
          </cell>
          <cell r="K51">
            <v>16</v>
          </cell>
          <cell r="L51">
            <v>3</v>
          </cell>
          <cell r="M51" t="str">
            <v>秋</v>
          </cell>
          <cell r="N51">
            <v>40070</v>
          </cell>
          <cell r="O51">
            <v>40159</v>
          </cell>
          <cell r="P51">
            <v>90</v>
          </cell>
          <cell r="Q51" t="str">
            <v>35日前</v>
          </cell>
          <cell r="R51">
            <v>40035</v>
          </cell>
          <cell r="S51">
            <v>40163</v>
          </cell>
          <cell r="T51">
            <v>40052</v>
          </cell>
          <cell r="U51">
            <v>40194</v>
          </cell>
          <cell r="V51" t="str">
            <v>800→900</v>
          </cell>
          <cell r="W51">
            <v>824</v>
          </cell>
          <cell r="X51">
            <v>2</v>
          </cell>
          <cell r="Y51">
            <v>1</v>
          </cell>
          <cell r="Z51" t="str">
            <v>無償</v>
          </cell>
          <cell r="AA51" t="str">
            <v>通常体系</v>
          </cell>
          <cell r="AB51" t="str">
            <v>×</v>
          </cell>
          <cell r="AE51" t="str">
            <v>35日前</v>
          </cell>
          <cell r="AF51">
            <v>40035</v>
          </cell>
          <cell r="AG51">
            <v>40163</v>
          </cell>
          <cell r="AH51">
            <v>40052</v>
          </cell>
          <cell r="AI51">
            <v>40194</v>
          </cell>
          <cell r="AJ51" t="str">
            <v>800→900</v>
          </cell>
          <cell r="AK51">
            <v>824</v>
          </cell>
          <cell r="AL51">
            <v>2</v>
          </cell>
          <cell r="AM51">
            <v>1</v>
          </cell>
          <cell r="AN51" t="str">
            <v>無償</v>
          </cell>
          <cell r="AO51" t="str">
            <v>通常体系</v>
          </cell>
          <cell r="AP51" t="str">
            <v>×</v>
          </cell>
        </row>
        <row r="52">
          <cell r="H52" t="str">
            <v>1：新枠</v>
          </cell>
          <cell r="I52">
            <v>1</v>
          </cell>
          <cell r="J52" t="str">
            <v>B4</v>
          </cell>
          <cell r="K52">
            <v>16</v>
          </cell>
          <cell r="L52">
            <v>3</v>
          </cell>
          <cell r="M52" t="str">
            <v>秋</v>
          </cell>
          <cell r="N52">
            <v>40063</v>
          </cell>
          <cell r="O52">
            <v>40152</v>
          </cell>
          <cell r="P52">
            <v>90</v>
          </cell>
          <cell r="Q52" t="str">
            <v>35日前</v>
          </cell>
          <cell r="R52">
            <v>40028</v>
          </cell>
          <cell r="S52">
            <v>40156</v>
          </cell>
          <cell r="T52">
            <v>40045</v>
          </cell>
          <cell r="U52">
            <v>40187</v>
          </cell>
          <cell r="V52">
            <v>1000</v>
          </cell>
          <cell r="W52">
            <v>936</v>
          </cell>
          <cell r="X52">
            <v>4</v>
          </cell>
          <cell r="Y52">
            <v>1</v>
          </cell>
          <cell r="Z52" t="str">
            <v>無償</v>
          </cell>
          <cell r="AA52" t="str">
            <v>通常体系</v>
          </cell>
          <cell r="AB52" t="str">
            <v>○</v>
          </cell>
          <cell r="AE52" t="str">
            <v>35日前</v>
          </cell>
          <cell r="AF52">
            <v>40028</v>
          </cell>
          <cell r="AG52">
            <v>40156</v>
          </cell>
          <cell r="AH52">
            <v>40045</v>
          </cell>
          <cell r="AI52">
            <v>40187</v>
          </cell>
          <cell r="AJ52">
            <v>1000</v>
          </cell>
          <cell r="AK52">
            <v>936</v>
          </cell>
          <cell r="AL52">
            <v>4</v>
          </cell>
          <cell r="AM52">
            <v>1</v>
          </cell>
          <cell r="AN52" t="str">
            <v>無償</v>
          </cell>
          <cell r="AO52" t="str">
            <v>通常体系</v>
          </cell>
          <cell r="AP52" t="str">
            <v>○</v>
          </cell>
        </row>
        <row r="53">
          <cell r="H53" t="str">
            <v>0：通常</v>
          </cell>
          <cell r="I53">
            <v>0</v>
          </cell>
          <cell r="J53" t="str">
            <v>B4</v>
          </cell>
          <cell r="K53">
            <v>24</v>
          </cell>
          <cell r="L53">
            <v>4</v>
          </cell>
          <cell r="M53" t="str">
            <v>冬</v>
          </cell>
          <cell r="N53">
            <v>40077</v>
          </cell>
          <cell r="O53">
            <v>40166</v>
          </cell>
          <cell r="P53">
            <v>90</v>
          </cell>
          <cell r="Q53" t="str">
            <v>35日前</v>
          </cell>
          <cell r="R53">
            <v>40042</v>
          </cell>
          <cell r="S53">
            <v>40170</v>
          </cell>
          <cell r="T53">
            <v>40059</v>
          </cell>
          <cell r="U53">
            <v>40201</v>
          </cell>
          <cell r="V53" t="str">
            <v>1200→1300</v>
          </cell>
          <cell r="W53">
            <v>1271</v>
          </cell>
          <cell r="X53">
            <v>15</v>
          </cell>
          <cell r="Y53">
            <v>1</v>
          </cell>
          <cell r="Z53" t="str">
            <v>無償</v>
          </cell>
          <cell r="AA53" t="str">
            <v>通常体系</v>
          </cell>
          <cell r="AB53" t="str">
            <v>×</v>
          </cell>
          <cell r="AE53" t="str">
            <v>35日前</v>
          </cell>
          <cell r="AF53">
            <v>40042</v>
          </cell>
          <cell r="AG53">
            <v>40170</v>
          </cell>
          <cell r="AH53">
            <v>40059</v>
          </cell>
          <cell r="AI53">
            <v>40201</v>
          </cell>
          <cell r="AJ53" t="str">
            <v>1200→1300</v>
          </cell>
          <cell r="AK53">
            <v>1271</v>
          </cell>
          <cell r="AL53">
            <v>15</v>
          </cell>
          <cell r="AM53">
            <v>1</v>
          </cell>
          <cell r="AN53" t="str">
            <v>無償</v>
          </cell>
          <cell r="AO53" t="str">
            <v>通常体系</v>
          </cell>
          <cell r="AP53" t="str">
            <v>×</v>
          </cell>
        </row>
        <row r="54">
          <cell r="H54" t="str">
            <v>1：新枠</v>
          </cell>
          <cell r="I54">
            <v>1</v>
          </cell>
          <cell r="J54" t="str">
            <v>B4</v>
          </cell>
          <cell r="K54">
            <v>8</v>
          </cell>
          <cell r="L54">
            <v>4</v>
          </cell>
          <cell r="M54" t="str">
            <v>冬</v>
          </cell>
          <cell r="N54">
            <v>40077</v>
          </cell>
          <cell r="O54">
            <v>40327</v>
          </cell>
          <cell r="P54">
            <v>251</v>
          </cell>
          <cell r="Q54" t="str">
            <v>35日前</v>
          </cell>
          <cell r="R54">
            <v>40042</v>
          </cell>
          <cell r="S54">
            <v>40331</v>
          </cell>
          <cell r="T54">
            <v>40059</v>
          </cell>
          <cell r="U54">
            <v>40362</v>
          </cell>
          <cell r="V54">
            <v>300</v>
          </cell>
          <cell r="W54">
            <v>261</v>
          </cell>
          <cell r="X54">
            <v>99</v>
          </cell>
          <cell r="Y54">
            <v>1</v>
          </cell>
          <cell r="Z54" t="str">
            <v>無償</v>
          </cell>
          <cell r="AA54" t="str">
            <v>通常体系</v>
          </cell>
          <cell r="AB54" t="str">
            <v>○</v>
          </cell>
          <cell r="AE54" t="str">
            <v>35日前</v>
          </cell>
          <cell r="AF54">
            <v>40042</v>
          </cell>
          <cell r="AG54">
            <v>40331</v>
          </cell>
          <cell r="AH54">
            <v>40059</v>
          </cell>
          <cell r="AI54">
            <v>40362</v>
          </cell>
          <cell r="AJ54">
            <v>300</v>
          </cell>
          <cell r="AK54">
            <v>261</v>
          </cell>
          <cell r="AL54">
            <v>99</v>
          </cell>
          <cell r="AM54">
            <v>1</v>
          </cell>
          <cell r="AN54" t="str">
            <v>無償</v>
          </cell>
          <cell r="AO54" t="str">
            <v>通常体系</v>
          </cell>
          <cell r="AP54" t="str">
            <v>○</v>
          </cell>
        </row>
        <row r="55">
          <cell r="H55" t="str">
            <v>3：増枠</v>
          </cell>
          <cell r="I55">
            <v>3</v>
          </cell>
          <cell r="J55" t="str">
            <v>A4</v>
          </cell>
          <cell r="K55">
            <v>207</v>
          </cell>
          <cell r="L55">
            <v>4</v>
          </cell>
          <cell r="M55" t="str">
            <v>冬</v>
          </cell>
          <cell r="N55">
            <v>40077</v>
          </cell>
          <cell r="O55">
            <v>40243</v>
          </cell>
          <cell r="P55">
            <v>167</v>
          </cell>
          <cell r="Q55" t="str">
            <v>35日前</v>
          </cell>
          <cell r="R55">
            <v>40042</v>
          </cell>
          <cell r="S55">
            <v>40247</v>
          </cell>
          <cell r="T55">
            <v>40059</v>
          </cell>
          <cell r="U55">
            <v>40278</v>
          </cell>
          <cell r="V55" t="str">
            <v>4200→4400</v>
          </cell>
          <cell r="W55">
            <v>4368</v>
          </cell>
          <cell r="X55">
            <v>1</v>
          </cell>
          <cell r="Y55">
            <v>1</v>
          </cell>
          <cell r="Z55" t="str">
            <v>無償</v>
          </cell>
          <cell r="AA55" t="str">
            <v>通常体系</v>
          </cell>
          <cell r="AB55" t="str">
            <v>○</v>
          </cell>
          <cell r="AE55" t="str">
            <v>35日前</v>
          </cell>
          <cell r="AF55">
            <v>40042</v>
          </cell>
          <cell r="AG55">
            <v>40247</v>
          </cell>
          <cell r="AH55">
            <v>40059</v>
          </cell>
          <cell r="AI55">
            <v>40278</v>
          </cell>
          <cell r="AJ55" t="str">
            <v>4200→4400</v>
          </cell>
          <cell r="AK55">
            <v>4368</v>
          </cell>
          <cell r="AL55">
            <v>1</v>
          </cell>
          <cell r="AM55">
            <v>1</v>
          </cell>
          <cell r="AN55" t="str">
            <v>無償</v>
          </cell>
          <cell r="AO55" t="str">
            <v>通常体系</v>
          </cell>
          <cell r="AP55" t="str">
            <v>○</v>
          </cell>
        </row>
        <row r="56">
          <cell r="H56" t="str">
            <v>0：通常</v>
          </cell>
          <cell r="I56">
            <v>0</v>
          </cell>
          <cell r="J56" t="str">
            <v>B4</v>
          </cell>
          <cell r="K56">
            <v>24</v>
          </cell>
          <cell r="L56">
            <v>4</v>
          </cell>
          <cell r="M56" t="str">
            <v>冬</v>
          </cell>
          <cell r="N56">
            <v>40077</v>
          </cell>
          <cell r="O56">
            <v>40173</v>
          </cell>
          <cell r="P56">
            <v>97</v>
          </cell>
          <cell r="Q56" t="str">
            <v>35日前</v>
          </cell>
          <cell r="R56">
            <v>40042</v>
          </cell>
          <cell r="S56">
            <v>40177</v>
          </cell>
          <cell r="T56">
            <v>40059</v>
          </cell>
          <cell r="U56">
            <v>40208</v>
          </cell>
          <cell r="V56">
            <v>900</v>
          </cell>
          <cell r="W56">
            <v>816</v>
          </cell>
          <cell r="X56">
            <v>2</v>
          </cell>
          <cell r="Y56">
            <v>1</v>
          </cell>
          <cell r="Z56" t="str">
            <v>無償</v>
          </cell>
          <cell r="AA56" t="str">
            <v>通常体系</v>
          </cell>
          <cell r="AB56" t="str">
            <v>×</v>
          </cell>
          <cell r="AE56" t="str">
            <v>35日前</v>
          </cell>
          <cell r="AF56">
            <v>40042</v>
          </cell>
          <cell r="AG56">
            <v>40177</v>
          </cell>
          <cell r="AH56">
            <v>40059</v>
          </cell>
          <cell r="AI56">
            <v>40208</v>
          </cell>
          <cell r="AJ56">
            <v>900</v>
          </cell>
          <cell r="AK56">
            <v>816</v>
          </cell>
          <cell r="AL56">
            <v>2</v>
          </cell>
          <cell r="AM56">
            <v>1</v>
          </cell>
          <cell r="AN56" t="str">
            <v>無償</v>
          </cell>
          <cell r="AO56" t="str">
            <v>通常体系</v>
          </cell>
          <cell r="AP56" t="str">
            <v>×</v>
          </cell>
        </row>
        <row r="57">
          <cell r="H57" t="str">
            <v>3：増枠</v>
          </cell>
          <cell r="I57">
            <v>3</v>
          </cell>
          <cell r="J57" t="str">
            <v>A4変型版</v>
          </cell>
          <cell r="K57">
            <v>119</v>
          </cell>
          <cell r="L57">
            <v>4</v>
          </cell>
          <cell r="M57" t="str">
            <v>冬</v>
          </cell>
          <cell r="N57">
            <v>40084</v>
          </cell>
          <cell r="O57">
            <v>40187</v>
          </cell>
          <cell r="P57">
            <v>104</v>
          </cell>
          <cell r="Q57" t="str">
            <v>35日前</v>
          </cell>
          <cell r="R57">
            <v>40049</v>
          </cell>
          <cell r="S57">
            <v>40191</v>
          </cell>
          <cell r="T57">
            <v>40066</v>
          </cell>
          <cell r="U57">
            <v>40222</v>
          </cell>
          <cell r="V57" t="str">
            <v>4200→4700</v>
          </cell>
          <cell r="W57">
            <v>4679</v>
          </cell>
          <cell r="X57">
            <v>1</v>
          </cell>
          <cell r="Y57">
            <v>1</v>
          </cell>
          <cell r="Z57" t="str">
            <v>無償</v>
          </cell>
          <cell r="AA57" t="str">
            <v>通常体系</v>
          </cell>
          <cell r="AB57" t="str">
            <v>○</v>
          </cell>
          <cell r="AE57" t="str">
            <v>35日前</v>
          </cell>
          <cell r="AF57">
            <v>40049</v>
          </cell>
          <cell r="AG57">
            <v>40191</v>
          </cell>
          <cell r="AH57">
            <v>40066</v>
          </cell>
          <cell r="AI57">
            <v>40222</v>
          </cell>
          <cell r="AJ57" t="str">
            <v>4200→4700</v>
          </cell>
          <cell r="AK57">
            <v>4679</v>
          </cell>
          <cell r="AL57">
            <v>1</v>
          </cell>
          <cell r="AM57">
            <v>1</v>
          </cell>
          <cell r="AN57" t="str">
            <v>無償</v>
          </cell>
          <cell r="AO57" t="str">
            <v>通常体系</v>
          </cell>
          <cell r="AP57" t="str">
            <v>○</v>
          </cell>
        </row>
        <row r="58">
          <cell r="H58" t="str">
            <v>0：通常</v>
          </cell>
          <cell r="I58">
            <v>0</v>
          </cell>
          <cell r="J58" t="str">
            <v>B4</v>
          </cell>
          <cell r="K58">
            <v>24</v>
          </cell>
          <cell r="L58">
            <v>4</v>
          </cell>
          <cell r="M58" t="str">
            <v>冬</v>
          </cell>
          <cell r="N58">
            <v>40084</v>
          </cell>
          <cell r="O58">
            <v>40187</v>
          </cell>
          <cell r="P58">
            <v>104</v>
          </cell>
          <cell r="Q58" t="str">
            <v>35日前</v>
          </cell>
          <cell r="R58">
            <v>40049</v>
          </cell>
          <cell r="S58">
            <v>40191</v>
          </cell>
          <cell r="T58">
            <v>40066</v>
          </cell>
          <cell r="U58">
            <v>40222</v>
          </cell>
          <cell r="V58">
            <v>1700</v>
          </cell>
          <cell r="W58">
            <v>1666</v>
          </cell>
          <cell r="X58">
            <v>4</v>
          </cell>
          <cell r="Y58">
            <v>1</v>
          </cell>
          <cell r="Z58" t="str">
            <v>無償</v>
          </cell>
          <cell r="AA58" t="str">
            <v>通常体系</v>
          </cell>
          <cell r="AB58" t="str">
            <v>○</v>
          </cell>
          <cell r="AE58" t="str">
            <v>35日前</v>
          </cell>
          <cell r="AF58">
            <v>40049</v>
          </cell>
          <cell r="AG58">
            <v>40191</v>
          </cell>
          <cell r="AH58">
            <v>40066</v>
          </cell>
          <cell r="AI58">
            <v>40222</v>
          </cell>
          <cell r="AJ58">
            <v>1700</v>
          </cell>
          <cell r="AK58">
            <v>1666</v>
          </cell>
          <cell r="AL58">
            <v>4</v>
          </cell>
          <cell r="AM58">
            <v>1</v>
          </cell>
          <cell r="AN58" t="str">
            <v>無償</v>
          </cell>
          <cell r="AO58" t="str">
            <v>通常体系</v>
          </cell>
          <cell r="AP58" t="str">
            <v>○</v>
          </cell>
        </row>
        <row r="59">
          <cell r="H59" t="str">
            <v>1：新枠</v>
          </cell>
          <cell r="I59">
            <v>1</v>
          </cell>
          <cell r="J59" t="str">
            <v>A4</v>
          </cell>
          <cell r="K59">
            <v>63</v>
          </cell>
          <cell r="L59">
            <v>4</v>
          </cell>
          <cell r="M59" t="str">
            <v>冬</v>
          </cell>
          <cell r="N59">
            <v>40084</v>
          </cell>
          <cell r="O59">
            <v>40201</v>
          </cell>
          <cell r="P59">
            <v>118</v>
          </cell>
          <cell r="Q59" t="str">
            <v>35日前</v>
          </cell>
          <cell r="R59">
            <v>40049</v>
          </cell>
          <cell r="S59">
            <v>40205</v>
          </cell>
          <cell r="T59">
            <v>40066</v>
          </cell>
          <cell r="U59">
            <v>40236</v>
          </cell>
          <cell r="V59">
            <v>1800</v>
          </cell>
          <cell r="W59">
            <v>1296</v>
          </cell>
          <cell r="X59">
            <v>1</v>
          </cell>
          <cell r="Y59">
            <v>1</v>
          </cell>
          <cell r="Z59" t="str">
            <v>無償</v>
          </cell>
          <cell r="AA59" t="str">
            <v>通常体系</v>
          </cell>
          <cell r="AB59" t="str">
            <v>○</v>
          </cell>
          <cell r="AE59" t="str">
            <v>35日前</v>
          </cell>
          <cell r="AF59">
            <v>40049</v>
          </cell>
          <cell r="AG59">
            <v>40205</v>
          </cell>
          <cell r="AH59">
            <v>40066</v>
          </cell>
          <cell r="AI59">
            <v>40236</v>
          </cell>
          <cell r="AJ59">
            <v>1800</v>
          </cell>
          <cell r="AK59">
            <v>1296</v>
          </cell>
          <cell r="AL59">
            <v>1</v>
          </cell>
          <cell r="AM59">
            <v>1</v>
          </cell>
          <cell r="AN59" t="str">
            <v>無償</v>
          </cell>
          <cell r="AO59" t="str">
            <v>通常体系</v>
          </cell>
          <cell r="AP59" t="str">
            <v>○</v>
          </cell>
        </row>
        <row r="60">
          <cell r="H60" t="str">
            <v>1：新枠</v>
          </cell>
          <cell r="I60">
            <v>1</v>
          </cell>
          <cell r="J60" t="str">
            <v>B4</v>
          </cell>
          <cell r="K60">
            <v>16</v>
          </cell>
          <cell r="L60">
            <v>4</v>
          </cell>
          <cell r="M60" t="str">
            <v>冬</v>
          </cell>
          <cell r="N60">
            <v>40084</v>
          </cell>
          <cell r="O60">
            <v>40166</v>
          </cell>
          <cell r="P60">
            <v>83</v>
          </cell>
          <cell r="Q60" t="str">
            <v>35日前</v>
          </cell>
          <cell r="R60">
            <v>40049</v>
          </cell>
          <cell r="S60">
            <v>40170</v>
          </cell>
          <cell r="T60">
            <v>40066</v>
          </cell>
          <cell r="U60">
            <v>40201</v>
          </cell>
          <cell r="V60">
            <v>700</v>
          </cell>
          <cell r="W60">
            <v>544</v>
          </cell>
          <cell r="X60">
            <v>4</v>
          </cell>
          <cell r="Y60">
            <v>1</v>
          </cell>
          <cell r="Z60" t="str">
            <v>無償</v>
          </cell>
          <cell r="AA60" t="str">
            <v>通常体系</v>
          </cell>
          <cell r="AB60" t="str">
            <v>○</v>
          </cell>
          <cell r="AE60" t="str">
            <v>35日前</v>
          </cell>
          <cell r="AF60">
            <v>40049</v>
          </cell>
          <cell r="AG60">
            <v>40170</v>
          </cell>
          <cell r="AH60">
            <v>40066</v>
          </cell>
          <cell r="AI60">
            <v>40201</v>
          </cell>
          <cell r="AJ60">
            <v>700</v>
          </cell>
          <cell r="AK60">
            <v>544</v>
          </cell>
          <cell r="AL60">
            <v>4</v>
          </cell>
          <cell r="AM60">
            <v>1</v>
          </cell>
          <cell r="AN60" t="str">
            <v>無償</v>
          </cell>
          <cell r="AO60" t="str">
            <v>通常体系</v>
          </cell>
          <cell r="AP60" t="str">
            <v>○</v>
          </cell>
        </row>
        <row r="61">
          <cell r="H61" t="str">
            <v>1：新枠</v>
          </cell>
          <cell r="I61">
            <v>1</v>
          </cell>
          <cell r="J61" t="str">
            <v>B4</v>
          </cell>
          <cell r="K61">
            <v>16</v>
          </cell>
          <cell r="L61">
            <v>4</v>
          </cell>
          <cell r="M61" t="str">
            <v>冬</v>
          </cell>
          <cell r="N61">
            <v>40084</v>
          </cell>
          <cell r="O61">
            <v>40159</v>
          </cell>
          <cell r="P61">
            <v>76</v>
          </cell>
          <cell r="Q61" t="str">
            <v>35日前</v>
          </cell>
          <cell r="R61">
            <v>40049</v>
          </cell>
          <cell r="S61">
            <v>40163</v>
          </cell>
          <cell r="T61">
            <v>40066</v>
          </cell>
          <cell r="U61">
            <v>40194</v>
          </cell>
          <cell r="V61">
            <v>500</v>
          </cell>
          <cell r="W61">
            <v>247</v>
          </cell>
          <cell r="X61">
            <v>23</v>
          </cell>
          <cell r="Y61">
            <v>1</v>
          </cell>
          <cell r="Z61" t="str">
            <v>無償</v>
          </cell>
          <cell r="AA61" t="str">
            <v>通常体系</v>
          </cell>
          <cell r="AB61" t="str">
            <v>×</v>
          </cell>
          <cell r="AE61" t="str">
            <v>35日前</v>
          </cell>
          <cell r="AF61">
            <v>40049</v>
          </cell>
          <cell r="AG61">
            <v>40163</v>
          </cell>
          <cell r="AH61">
            <v>40066</v>
          </cell>
          <cell r="AI61">
            <v>40194</v>
          </cell>
          <cell r="AJ61">
            <v>500</v>
          </cell>
          <cell r="AK61">
            <v>247</v>
          </cell>
          <cell r="AL61">
            <v>23</v>
          </cell>
          <cell r="AM61">
            <v>1</v>
          </cell>
          <cell r="AN61" t="str">
            <v>無償</v>
          </cell>
          <cell r="AO61" t="str">
            <v>通常体系</v>
          </cell>
          <cell r="AP61" t="str">
            <v>×</v>
          </cell>
        </row>
        <row r="62">
          <cell r="H62" t="str">
            <v>1：新枠</v>
          </cell>
          <cell r="I62">
            <v>1</v>
          </cell>
          <cell r="J62" t="str">
            <v>B4</v>
          </cell>
          <cell r="K62">
            <v>16</v>
          </cell>
          <cell r="L62">
            <v>4</v>
          </cell>
          <cell r="M62" t="str">
            <v>冬</v>
          </cell>
          <cell r="N62">
            <v>40091</v>
          </cell>
          <cell r="O62">
            <v>40187</v>
          </cell>
          <cell r="P62">
            <v>97</v>
          </cell>
          <cell r="Q62" t="str">
            <v>35日前</v>
          </cell>
          <cell r="R62">
            <v>40056</v>
          </cell>
          <cell r="S62">
            <v>40191</v>
          </cell>
          <cell r="T62">
            <v>40073</v>
          </cell>
          <cell r="U62">
            <v>40222</v>
          </cell>
          <cell r="V62">
            <v>500</v>
          </cell>
          <cell r="X62">
            <v>4</v>
          </cell>
          <cell r="Y62">
            <v>1</v>
          </cell>
          <cell r="Z62" t="str">
            <v>無償</v>
          </cell>
          <cell r="AA62" t="str">
            <v>通常体系</v>
          </cell>
          <cell r="AB62" t="str">
            <v>○</v>
          </cell>
          <cell r="AE62" t="str">
            <v>35日前</v>
          </cell>
          <cell r="AF62">
            <v>40056</v>
          </cell>
          <cell r="AG62">
            <v>40191</v>
          </cell>
          <cell r="AH62">
            <v>40073</v>
          </cell>
          <cell r="AI62">
            <v>40222</v>
          </cell>
          <cell r="AJ62">
            <v>500</v>
          </cell>
          <cell r="AL62">
            <v>4</v>
          </cell>
          <cell r="AM62">
            <v>1</v>
          </cell>
          <cell r="AN62" t="str">
            <v>無償</v>
          </cell>
          <cell r="AO62" t="str">
            <v>通常体系</v>
          </cell>
          <cell r="AP62" t="str">
            <v>○</v>
          </cell>
        </row>
        <row r="63">
          <cell r="H63" t="str">
            <v>0：通常</v>
          </cell>
          <cell r="I63">
            <v>0</v>
          </cell>
          <cell r="J63" t="str">
            <v>B4</v>
          </cell>
          <cell r="K63">
            <v>24</v>
          </cell>
          <cell r="L63">
            <v>4</v>
          </cell>
          <cell r="M63" t="str">
            <v>冬</v>
          </cell>
          <cell r="N63">
            <v>40091</v>
          </cell>
          <cell r="O63">
            <v>40187</v>
          </cell>
          <cell r="P63">
            <v>97</v>
          </cell>
          <cell r="Q63" t="str">
            <v>35日前</v>
          </cell>
          <cell r="R63">
            <v>40056</v>
          </cell>
          <cell r="S63">
            <v>40191</v>
          </cell>
          <cell r="T63">
            <v>40073</v>
          </cell>
          <cell r="U63">
            <v>40222</v>
          </cell>
          <cell r="V63">
            <v>2000</v>
          </cell>
          <cell r="W63">
            <v>1733</v>
          </cell>
          <cell r="X63">
            <v>14</v>
          </cell>
          <cell r="Y63">
            <v>1</v>
          </cell>
          <cell r="Z63" t="str">
            <v>無償</v>
          </cell>
          <cell r="AA63" t="str">
            <v>通常体系</v>
          </cell>
          <cell r="AB63" t="str">
            <v>×</v>
          </cell>
          <cell r="AE63" t="str">
            <v>35日前</v>
          </cell>
          <cell r="AF63">
            <v>40056</v>
          </cell>
          <cell r="AG63">
            <v>40191</v>
          </cell>
          <cell r="AH63">
            <v>40073</v>
          </cell>
          <cell r="AI63">
            <v>40222</v>
          </cell>
          <cell r="AJ63">
            <v>2000</v>
          </cell>
          <cell r="AK63">
            <v>1733</v>
          </cell>
          <cell r="AL63">
            <v>14</v>
          </cell>
          <cell r="AM63">
            <v>1</v>
          </cell>
          <cell r="AN63" t="str">
            <v>無償</v>
          </cell>
          <cell r="AO63" t="str">
            <v>通常体系</v>
          </cell>
          <cell r="AP63" t="str">
            <v>×</v>
          </cell>
        </row>
        <row r="64">
          <cell r="H64" t="str">
            <v>0：通常</v>
          </cell>
          <cell r="I64">
            <v>0</v>
          </cell>
          <cell r="J64" t="str">
            <v>B4</v>
          </cell>
          <cell r="K64">
            <v>16</v>
          </cell>
          <cell r="L64">
            <v>4</v>
          </cell>
          <cell r="M64" t="str">
            <v>冬</v>
          </cell>
          <cell r="N64">
            <v>40098</v>
          </cell>
          <cell r="O64">
            <v>40201</v>
          </cell>
          <cell r="P64">
            <v>104</v>
          </cell>
          <cell r="Q64" t="str">
            <v>35日前</v>
          </cell>
          <cell r="R64">
            <v>40063</v>
          </cell>
          <cell r="S64">
            <v>40205</v>
          </cell>
          <cell r="T64">
            <v>40080</v>
          </cell>
          <cell r="U64">
            <v>40236</v>
          </cell>
          <cell r="V64">
            <v>900</v>
          </cell>
          <cell r="W64">
            <v>498</v>
          </cell>
          <cell r="X64">
            <v>2</v>
          </cell>
          <cell r="Y64">
            <v>1</v>
          </cell>
          <cell r="Z64" t="str">
            <v>無償</v>
          </cell>
          <cell r="AA64" t="str">
            <v>通常体系</v>
          </cell>
          <cell r="AB64" t="str">
            <v>×</v>
          </cell>
          <cell r="AE64" t="str">
            <v>35日前</v>
          </cell>
          <cell r="AF64">
            <v>40063</v>
          </cell>
          <cell r="AG64">
            <v>40205</v>
          </cell>
          <cell r="AH64">
            <v>40080</v>
          </cell>
          <cell r="AI64">
            <v>40236</v>
          </cell>
          <cell r="AJ64">
            <v>900</v>
          </cell>
          <cell r="AK64">
            <v>498</v>
          </cell>
          <cell r="AL64">
            <v>2</v>
          </cell>
          <cell r="AM64">
            <v>1</v>
          </cell>
          <cell r="AN64" t="str">
            <v>無償</v>
          </cell>
          <cell r="AO64" t="str">
            <v>通常体系</v>
          </cell>
          <cell r="AP64" t="str">
            <v>×</v>
          </cell>
        </row>
        <row r="65">
          <cell r="H65" t="str">
            <v>1：新枠</v>
          </cell>
          <cell r="I65">
            <v>1</v>
          </cell>
          <cell r="J65" t="str">
            <v>B4</v>
          </cell>
          <cell r="K65">
            <v>8</v>
          </cell>
          <cell r="L65">
            <v>4</v>
          </cell>
          <cell r="M65" t="str">
            <v>冬</v>
          </cell>
          <cell r="N65">
            <v>40098</v>
          </cell>
          <cell r="O65">
            <v>40208</v>
          </cell>
          <cell r="P65">
            <v>111</v>
          </cell>
          <cell r="Q65" t="str">
            <v>35日前</v>
          </cell>
          <cell r="R65">
            <v>40063</v>
          </cell>
          <cell r="S65">
            <v>40212</v>
          </cell>
          <cell r="T65">
            <v>40080</v>
          </cell>
          <cell r="U65">
            <v>40243</v>
          </cell>
          <cell r="V65">
            <v>400</v>
          </cell>
          <cell r="W65">
            <v>299</v>
          </cell>
          <cell r="X65">
            <v>19</v>
          </cell>
          <cell r="Y65">
            <v>1</v>
          </cell>
          <cell r="Z65" t="str">
            <v>無償</v>
          </cell>
          <cell r="AA65" t="str">
            <v>通常体系</v>
          </cell>
          <cell r="AB65" t="str">
            <v>×</v>
          </cell>
          <cell r="AE65" t="str">
            <v>35日前</v>
          </cell>
          <cell r="AF65">
            <v>40063</v>
          </cell>
          <cell r="AG65">
            <v>40212</v>
          </cell>
          <cell r="AH65">
            <v>40080</v>
          </cell>
          <cell r="AI65">
            <v>40243</v>
          </cell>
          <cell r="AJ65">
            <v>400</v>
          </cell>
          <cell r="AK65">
            <v>299</v>
          </cell>
          <cell r="AL65">
            <v>19</v>
          </cell>
          <cell r="AM65">
            <v>1</v>
          </cell>
          <cell r="AN65" t="str">
            <v>無償</v>
          </cell>
          <cell r="AO65" t="str">
            <v>通常体系</v>
          </cell>
          <cell r="AP65" t="str">
            <v>×</v>
          </cell>
        </row>
        <row r="66">
          <cell r="H66" t="str">
            <v>1：新枠</v>
          </cell>
          <cell r="I66">
            <v>1</v>
          </cell>
          <cell r="J66" t="str">
            <v>B4</v>
          </cell>
          <cell r="K66">
            <v>8</v>
          </cell>
          <cell r="L66">
            <v>4</v>
          </cell>
          <cell r="M66" t="str">
            <v>冬</v>
          </cell>
          <cell r="N66">
            <v>40098</v>
          </cell>
          <cell r="O66">
            <v>40208</v>
          </cell>
          <cell r="P66">
            <v>111</v>
          </cell>
          <cell r="Q66" t="str">
            <v>35日前</v>
          </cell>
          <cell r="R66">
            <v>40063</v>
          </cell>
          <cell r="S66">
            <v>40212</v>
          </cell>
          <cell r="T66">
            <v>40080</v>
          </cell>
          <cell r="U66">
            <v>40243</v>
          </cell>
          <cell r="V66">
            <v>500</v>
          </cell>
          <cell r="W66">
            <v>496</v>
          </cell>
          <cell r="X66">
            <v>19</v>
          </cell>
          <cell r="Y66">
            <v>1</v>
          </cell>
          <cell r="Z66" t="str">
            <v>無償</v>
          </cell>
          <cell r="AA66" t="str">
            <v>通常体系</v>
          </cell>
          <cell r="AB66" t="str">
            <v>×</v>
          </cell>
          <cell r="AE66" t="str">
            <v>35日前</v>
          </cell>
          <cell r="AF66">
            <v>40063</v>
          </cell>
          <cell r="AG66">
            <v>40212</v>
          </cell>
          <cell r="AH66">
            <v>40080</v>
          </cell>
          <cell r="AI66">
            <v>40243</v>
          </cell>
          <cell r="AJ66">
            <v>500</v>
          </cell>
          <cell r="AK66">
            <v>496</v>
          </cell>
          <cell r="AL66">
            <v>19</v>
          </cell>
          <cell r="AM66">
            <v>1</v>
          </cell>
          <cell r="AN66" t="str">
            <v>無償</v>
          </cell>
          <cell r="AO66" t="str">
            <v>通常体系</v>
          </cell>
          <cell r="AP66" t="str">
            <v>×</v>
          </cell>
        </row>
        <row r="67">
          <cell r="H67" t="str">
            <v>0：通常</v>
          </cell>
          <cell r="I67">
            <v>0</v>
          </cell>
          <cell r="J67" t="str">
            <v>B4</v>
          </cell>
          <cell r="K67">
            <v>24</v>
          </cell>
          <cell r="L67">
            <v>4</v>
          </cell>
          <cell r="M67" t="str">
            <v>冬</v>
          </cell>
          <cell r="N67">
            <v>40098</v>
          </cell>
          <cell r="O67">
            <v>40201</v>
          </cell>
          <cell r="P67">
            <v>104</v>
          </cell>
          <cell r="Q67" t="str">
            <v>35日前</v>
          </cell>
          <cell r="R67">
            <v>40063</v>
          </cell>
          <cell r="S67">
            <v>40205</v>
          </cell>
          <cell r="T67">
            <v>40080</v>
          </cell>
          <cell r="U67">
            <v>40236</v>
          </cell>
          <cell r="V67" t="str">
            <v>1000→1100</v>
          </cell>
          <cell r="W67">
            <v>1040</v>
          </cell>
          <cell r="X67">
            <v>2</v>
          </cell>
          <cell r="Y67">
            <v>1</v>
          </cell>
          <cell r="Z67" t="str">
            <v>無償</v>
          </cell>
          <cell r="AA67" t="str">
            <v>通常体系</v>
          </cell>
          <cell r="AB67" t="str">
            <v>×</v>
          </cell>
          <cell r="AE67" t="str">
            <v>35日前</v>
          </cell>
          <cell r="AF67">
            <v>40063</v>
          </cell>
          <cell r="AG67">
            <v>40205</v>
          </cell>
          <cell r="AH67">
            <v>40080</v>
          </cell>
          <cell r="AI67">
            <v>40236</v>
          </cell>
          <cell r="AJ67" t="str">
            <v>1000→1100</v>
          </cell>
          <cell r="AK67">
            <v>1040</v>
          </cell>
          <cell r="AL67">
            <v>2</v>
          </cell>
          <cell r="AM67">
            <v>1</v>
          </cell>
          <cell r="AN67" t="str">
            <v>無償</v>
          </cell>
          <cell r="AO67" t="str">
            <v>通常体系</v>
          </cell>
          <cell r="AP67" t="str">
            <v>×</v>
          </cell>
        </row>
        <row r="68">
          <cell r="H68" t="str">
            <v>1：新枠</v>
          </cell>
          <cell r="I68">
            <v>1</v>
          </cell>
          <cell r="J68" t="str">
            <v>A4</v>
          </cell>
          <cell r="K68">
            <v>96</v>
          </cell>
          <cell r="L68">
            <v>4</v>
          </cell>
          <cell r="M68" t="str">
            <v>冬</v>
          </cell>
          <cell r="N68">
            <v>40105</v>
          </cell>
          <cell r="O68">
            <v>40208</v>
          </cell>
          <cell r="P68">
            <v>104</v>
          </cell>
          <cell r="Q68" t="str">
            <v>35日前</v>
          </cell>
          <cell r="R68">
            <v>40070</v>
          </cell>
          <cell r="S68">
            <v>40212</v>
          </cell>
          <cell r="T68">
            <v>40087</v>
          </cell>
          <cell r="U68">
            <v>40243</v>
          </cell>
          <cell r="V68" t="str">
            <v>2100→2800</v>
          </cell>
          <cell r="W68">
            <v>2661</v>
          </cell>
          <cell r="X68">
            <v>98</v>
          </cell>
          <cell r="Y68">
            <v>1</v>
          </cell>
          <cell r="Z68" t="str">
            <v>無償</v>
          </cell>
          <cell r="AA68" t="str">
            <v>通常体系</v>
          </cell>
          <cell r="AB68" t="str">
            <v>×</v>
          </cell>
          <cell r="AE68" t="str">
            <v>35日前</v>
          </cell>
          <cell r="AF68">
            <v>40070</v>
          </cell>
          <cell r="AG68">
            <v>40212</v>
          </cell>
          <cell r="AH68">
            <v>40087</v>
          </cell>
          <cell r="AI68">
            <v>40243</v>
          </cell>
          <cell r="AJ68" t="str">
            <v>2100→2800</v>
          </cell>
          <cell r="AK68">
            <v>2661</v>
          </cell>
          <cell r="AL68">
            <v>98</v>
          </cell>
          <cell r="AM68">
            <v>1</v>
          </cell>
          <cell r="AN68" t="str">
            <v>無償</v>
          </cell>
          <cell r="AO68" t="str">
            <v>通常体系</v>
          </cell>
          <cell r="AP68" t="str">
            <v>×</v>
          </cell>
        </row>
        <row r="69">
          <cell r="H69" t="str">
            <v>0：通常</v>
          </cell>
          <cell r="I69">
            <v>0</v>
          </cell>
          <cell r="J69" t="str">
            <v>B4</v>
          </cell>
          <cell r="K69">
            <v>16</v>
          </cell>
          <cell r="L69">
            <v>4</v>
          </cell>
          <cell r="M69" t="str">
            <v>冬</v>
          </cell>
          <cell r="N69">
            <v>40119</v>
          </cell>
          <cell r="O69">
            <v>40229</v>
          </cell>
          <cell r="P69">
            <v>111</v>
          </cell>
          <cell r="Q69" t="str">
            <v>35日前</v>
          </cell>
          <cell r="R69">
            <v>40084</v>
          </cell>
          <cell r="S69">
            <v>40233</v>
          </cell>
          <cell r="T69">
            <v>40101</v>
          </cell>
          <cell r="U69">
            <v>40264</v>
          </cell>
          <cell r="V69">
            <v>1100</v>
          </cell>
          <cell r="X69">
            <v>4</v>
          </cell>
          <cell r="Y69">
            <v>1</v>
          </cell>
          <cell r="Z69" t="str">
            <v>無償</v>
          </cell>
          <cell r="AA69" t="str">
            <v>通常体系</v>
          </cell>
          <cell r="AB69" t="str">
            <v>○</v>
          </cell>
          <cell r="AE69" t="str">
            <v>35日前</v>
          </cell>
          <cell r="AF69">
            <v>40084</v>
          </cell>
          <cell r="AG69">
            <v>40233</v>
          </cell>
          <cell r="AH69">
            <v>40101</v>
          </cell>
          <cell r="AI69">
            <v>40264</v>
          </cell>
          <cell r="AJ69">
            <v>1100</v>
          </cell>
          <cell r="AL69">
            <v>4</v>
          </cell>
          <cell r="AM69">
            <v>1</v>
          </cell>
          <cell r="AN69" t="str">
            <v>無償</v>
          </cell>
          <cell r="AO69" t="str">
            <v>通常体系</v>
          </cell>
          <cell r="AP69" t="str">
            <v>○</v>
          </cell>
        </row>
        <row r="70">
          <cell r="H70" t="str">
            <v>1：新枠</v>
          </cell>
          <cell r="I70">
            <v>1</v>
          </cell>
          <cell r="J70" t="str">
            <v>B4</v>
          </cell>
          <cell r="K70">
            <v>16</v>
          </cell>
          <cell r="L70">
            <v>4</v>
          </cell>
          <cell r="M70" t="str">
            <v>冬</v>
          </cell>
          <cell r="N70">
            <v>40119</v>
          </cell>
          <cell r="O70">
            <v>40222</v>
          </cell>
          <cell r="P70">
            <v>104</v>
          </cell>
          <cell r="Q70" t="str">
            <v>35日前</v>
          </cell>
          <cell r="R70">
            <v>40084</v>
          </cell>
          <cell r="S70">
            <v>40226</v>
          </cell>
          <cell r="T70">
            <v>40101</v>
          </cell>
          <cell r="U70">
            <v>40257</v>
          </cell>
          <cell r="V70" t="str">
            <v>900→1100</v>
          </cell>
          <cell r="X70">
            <v>15</v>
          </cell>
          <cell r="Y70">
            <v>1</v>
          </cell>
          <cell r="Z70" t="str">
            <v>無償</v>
          </cell>
          <cell r="AA70" t="str">
            <v>通常体系</v>
          </cell>
          <cell r="AB70" t="str">
            <v>×</v>
          </cell>
          <cell r="AE70" t="str">
            <v>35日前</v>
          </cell>
          <cell r="AF70">
            <v>40084</v>
          </cell>
          <cell r="AG70">
            <v>40226</v>
          </cell>
          <cell r="AH70">
            <v>40101</v>
          </cell>
          <cell r="AI70">
            <v>40257</v>
          </cell>
          <cell r="AJ70" t="str">
            <v>900→1100</v>
          </cell>
          <cell r="AL70">
            <v>15</v>
          </cell>
          <cell r="AM70">
            <v>1</v>
          </cell>
          <cell r="AN70" t="str">
            <v>無償</v>
          </cell>
          <cell r="AO70" t="str">
            <v>通常体系</v>
          </cell>
          <cell r="AP70" t="str">
            <v>×</v>
          </cell>
        </row>
        <row r="71">
          <cell r="H71" t="str">
            <v>1：新枠</v>
          </cell>
          <cell r="I71">
            <v>1</v>
          </cell>
          <cell r="J71" t="str">
            <v>B4</v>
          </cell>
          <cell r="K71">
            <v>16</v>
          </cell>
          <cell r="L71">
            <v>4</v>
          </cell>
          <cell r="M71" t="str">
            <v>冬</v>
          </cell>
          <cell r="N71">
            <v>40126</v>
          </cell>
          <cell r="O71">
            <v>40201</v>
          </cell>
          <cell r="P71">
            <v>76</v>
          </cell>
          <cell r="Q71" t="str">
            <v>35日前</v>
          </cell>
          <cell r="R71">
            <v>40091</v>
          </cell>
          <cell r="S71">
            <v>40205</v>
          </cell>
          <cell r="T71">
            <v>40108</v>
          </cell>
          <cell r="U71">
            <v>40236</v>
          </cell>
          <cell r="V71">
            <v>700</v>
          </cell>
          <cell r="X71">
            <v>4</v>
          </cell>
          <cell r="Y71">
            <v>1</v>
          </cell>
          <cell r="Z71" t="str">
            <v>無償</v>
          </cell>
          <cell r="AA71" t="str">
            <v>通常体系</v>
          </cell>
          <cell r="AB71" t="str">
            <v>○</v>
          </cell>
          <cell r="AE71" t="str">
            <v>35日前</v>
          </cell>
          <cell r="AF71">
            <v>40091</v>
          </cell>
          <cell r="AG71">
            <v>40205</v>
          </cell>
          <cell r="AH71">
            <v>40108</v>
          </cell>
          <cell r="AI71">
            <v>40236</v>
          </cell>
          <cell r="AJ71">
            <v>700</v>
          </cell>
          <cell r="AL71">
            <v>4</v>
          </cell>
          <cell r="AM71">
            <v>1</v>
          </cell>
          <cell r="AN71" t="str">
            <v>無償</v>
          </cell>
          <cell r="AO71" t="str">
            <v>通常体系</v>
          </cell>
          <cell r="AP71" t="str">
            <v>○</v>
          </cell>
        </row>
        <row r="72">
          <cell r="H72" t="str">
            <v>0：通常</v>
          </cell>
          <cell r="I72">
            <v>0</v>
          </cell>
          <cell r="J72" t="str">
            <v>B4</v>
          </cell>
          <cell r="K72">
            <v>32</v>
          </cell>
          <cell r="L72">
            <v>4</v>
          </cell>
          <cell r="M72" t="str">
            <v>冬</v>
          </cell>
          <cell r="N72">
            <v>40126</v>
          </cell>
          <cell r="O72">
            <v>40201</v>
          </cell>
          <cell r="P72">
            <v>76</v>
          </cell>
          <cell r="Q72" t="str">
            <v>35日前</v>
          </cell>
          <cell r="R72">
            <v>40091</v>
          </cell>
          <cell r="S72">
            <v>40205</v>
          </cell>
          <cell r="T72">
            <v>40108</v>
          </cell>
          <cell r="U72">
            <v>40236</v>
          </cell>
          <cell r="V72">
            <v>1200</v>
          </cell>
          <cell r="X72">
            <v>2</v>
          </cell>
          <cell r="Y72">
            <v>1</v>
          </cell>
          <cell r="Z72" t="str">
            <v>無償</v>
          </cell>
          <cell r="AA72" t="str">
            <v>通常体系</v>
          </cell>
          <cell r="AB72" t="str">
            <v>×</v>
          </cell>
          <cell r="AE72" t="str">
            <v>35日前</v>
          </cell>
          <cell r="AF72">
            <v>40091</v>
          </cell>
          <cell r="AG72">
            <v>40205</v>
          </cell>
          <cell r="AH72">
            <v>40108</v>
          </cell>
          <cell r="AI72">
            <v>40236</v>
          </cell>
          <cell r="AJ72">
            <v>1200</v>
          </cell>
          <cell r="AL72">
            <v>2</v>
          </cell>
          <cell r="AM72">
            <v>1</v>
          </cell>
          <cell r="AN72" t="str">
            <v>無償</v>
          </cell>
          <cell r="AO72" t="str">
            <v>通常体系</v>
          </cell>
          <cell r="AP72" t="str">
            <v>×</v>
          </cell>
        </row>
        <row r="73">
          <cell r="H73" t="str">
            <v>1：新枠</v>
          </cell>
          <cell r="I73">
            <v>1</v>
          </cell>
          <cell r="J73" t="str">
            <v>B4</v>
          </cell>
          <cell r="K73">
            <v>8</v>
          </cell>
          <cell r="L73">
            <v>4</v>
          </cell>
          <cell r="M73" t="str">
            <v>冬</v>
          </cell>
          <cell r="N73">
            <v>40133</v>
          </cell>
          <cell r="O73">
            <v>40215</v>
          </cell>
          <cell r="P73">
            <v>83</v>
          </cell>
          <cell r="Q73" t="str">
            <v>35日前</v>
          </cell>
          <cell r="R73">
            <v>40098</v>
          </cell>
          <cell r="S73">
            <v>40219</v>
          </cell>
          <cell r="T73">
            <v>40115</v>
          </cell>
          <cell r="U73">
            <v>40250</v>
          </cell>
          <cell r="V73" t="str">
            <v>400→500</v>
          </cell>
          <cell r="X73">
            <v>15</v>
          </cell>
          <cell r="Y73">
            <v>1</v>
          </cell>
          <cell r="Z73" t="str">
            <v>無償</v>
          </cell>
          <cell r="AA73" t="str">
            <v>通常体系</v>
          </cell>
          <cell r="AB73" t="str">
            <v>×</v>
          </cell>
          <cell r="AE73" t="str">
            <v>35日前</v>
          </cell>
          <cell r="AF73">
            <v>40098</v>
          </cell>
          <cell r="AG73">
            <v>40219</v>
          </cell>
          <cell r="AH73">
            <v>40115</v>
          </cell>
          <cell r="AI73">
            <v>40250</v>
          </cell>
          <cell r="AJ73" t="str">
            <v>400→500</v>
          </cell>
          <cell r="AL73">
            <v>15</v>
          </cell>
          <cell r="AM73">
            <v>1</v>
          </cell>
          <cell r="AN73" t="str">
            <v>無償</v>
          </cell>
          <cell r="AO73" t="str">
            <v>通常体系</v>
          </cell>
          <cell r="AP73" t="str">
            <v>×</v>
          </cell>
        </row>
        <row r="74">
          <cell r="H74" t="str">
            <v>0：通常</v>
          </cell>
          <cell r="I74">
            <v>0</v>
          </cell>
          <cell r="J74" t="str">
            <v>B4</v>
          </cell>
          <cell r="K74">
            <v>16</v>
          </cell>
          <cell r="L74">
            <v>4</v>
          </cell>
          <cell r="M74" t="str">
            <v>新春</v>
          </cell>
          <cell r="N74">
            <v>40182</v>
          </cell>
          <cell r="O74">
            <v>40264</v>
          </cell>
          <cell r="P74">
            <v>83</v>
          </cell>
          <cell r="Q74" t="str">
            <v>35日前</v>
          </cell>
          <cell r="R74">
            <v>40147</v>
          </cell>
          <cell r="S74">
            <v>40268</v>
          </cell>
          <cell r="T74">
            <v>40164</v>
          </cell>
          <cell r="U74">
            <v>40299</v>
          </cell>
          <cell r="V74" t="str">
            <v>1300→1500</v>
          </cell>
          <cell r="W74">
            <v>1130</v>
          </cell>
          <cell r="X74">
            <v>14</v>
          </cell>
          <cell r="Y74">
            <v>1</v>
          </cell>
          <cell r="Z74" t="str">
            <v>無償</v>
          </cell>
          <cell r="AA74" t="str">
            <v>通常体系</v>
          </cell>
          <cell r="AB74" t="str">
            <v>×</v>
          </cell>
          <cell r="AE74" t="str">
            <v>35日前</v>
          </cell>
          <cell r="AF74">
            <v>40147</v>
          </cell>
          <cell r="AG74">
            <v>40268</v>
          </cell>
          <cell r="AH74">
            <v>40164</v>
          </cell>
          <cell r="AI74">
            <v>40299</v>
          </cell>
          <cell r="AJ74" t="str">
            <v>1300→1500</v>
          </cell>
          <cell r="AK74">
            <v>1130</v>
          </cell>
          <cell r="AL74">
            <v>14</v>
          </cell>
          <cell r="AM74">
            <v>1</v>
          </cell>
          <cell r="AN74" t="str">
            <v>無償</v>
          </cell>
          <cell r="AO74" t="str">
            <v>通常体系</v>
          </cell>
          <cell r="AP74" t="str">
            <v>×</v>
          </cell>
        </row>
        <row r="75">
          <cell r="H75" t="str">
            <v>3：増枠</v>
          </cell>
          <cell r="I75">
            <v>3</v>
          </cell>
          <cell r="J75" t="str">
            <v>B4</v>
          </cell>
          <cell r="K75">
            <v>16</v>
          </cell>
          <cell r="L75">
            <v>6</v>
          </cell>
          <cell r="M75" t="str">
            <v>新春</v>
          </cell>
          <cell r="N75">
            <v>40147</v>
          </cell>
          <cell r="O75">
            <v>40250</v>
          </cell>
          <cell r="P75">
            <v>104</v>
          </cell>
          <cell r="Q75" t="str">
            <v>35日前</v>
          </cell>
          <cell r="R75">
            <v>40112</v>
          </cell>
          <cell r="S75">
            <v>40254</v>
          </cell>
          <cell r="T75">
            <v>40129</v>
          </cell>
          <cell r="U75">
            <v>40285</v>
          </cell>
          <cell r="V75">
            <v>700</v>
          </cell>
          <cell r="W75">
            <v>649</v>
          </cell>
          <cell r="X75">
            <v>15</v>
          </cell>
          <cell r="Y75">
            <v>1</v>
          </cell>
          <cell r="Z75" t="str">
            <v>無償</v>
          </cell>
          <cell r="AA75" t="str">
            <v>通常体系</v>
          </cell>
          <cell r="AB75" t="str">
            <v>×</v>
          </cell>
          <cell r="AE75" t="str">
            <v>35日前</v>
          </cell>
          <cell r="AF75">
            <v>40112</v>
          </cell>
          <cell r="AG75">
            <v>40254</v>
          </cell>
          <cell r="AH75">
            <v>40129</v>
          </cell>
          <cell r="AI75">
            <v>40285</v>
          </cell>
          <cell r="AJ75">
            <v>700</v>
          </cell>
          <cell r="AK75">
            <v>649</v>
          </cell>
          <cell r="AL75">
            <v>15</v>
          </cell>
          <cell r="AM75">
            <v>1</v>
          </cell>
          <cell r="AN75" t="str">
            <v>無償</v>
          </cell>
          <cell r="AO75" t="str">
            <v>通常体系</v>
          </cell>
          <cell r="AP75" t="str">
            <v>×</v>
          </cell>
        </row>
        <row r="76">
          <cell r="H76" t="str">
            <v>0：通常</v>
          </cell>
          <cell r="I76">
            <v>0</v>
          </cell>
          <cell r="J76" t="str">
            <v>B4</v>
          </cell>
          <cell r="K76">
            <v>16</v>
          </cell>
          <cell r="L76">
            <v>6</v>
          </cell>
          <cell r="M76" t="str">
            <v>新春</v>
          </cell>
          <cell r="N76">
            <v>40168</v>
          </cell>
          <cell r="O76">
            <v>40250</v>
          </cell>
          <cell r="P76">
            <v>83</v>
          </cell>
          <cell r="Q76" t="str">
            <v>35日前</v>
          </cell>
          <cell r="R76">
            <v>40133</v>
          </cell>
          <cell r="S76">
            <v>40254</v>
          </cell>
          <cell r="T76">
            <v>40150</v>
          </cell>
          <cell r="U76">
            <v>40285</v>
          </cell>
          <cell r="V76">
            <v>1500</v>
          </cell>
          <cell r="X76">
            <v>2</v>
          </cell>
          <cell r="Y76">
            <v>1</v>
          </cell>
          <cell r="Z76" t="str">
            <v>無償</v>
          </cell>
          <cell r="AA76" t="str">
            <v>通常体系</v>
          </cell>
          <cell r="AB76" t="str">
            <v>×</v>
          </cell>
          <cell r="AE76" t="str">
            <v>35日前</v>
          </cell>
          <cell r="AF76">
            <v>40133</v>
          </cell>
          <cell r="AG76">
            <v>40254</v>
          </cell>
          <cell r="AH76">
            <v>40150</v>
          </cell>
          <cell r="AI76">
            <v>40285</v>
          </cell>
          <cell r="AJ76">
            <v>1500</v>
          </cell>
          <cell r="AL76">
            <v>2</v>
          </cell>
          <cell r="AM76">
            <v>1</v>
          </cell>
          <cell r="AN76" t="str">
            <v>無償</v>
          </cell>
          <cell r="AO76" t="str">
            <v>通常体系</v>
          </cell>
          <cell r="AP76" t="str">
            <v>×</v>
          </cell>
        </row>
        <row r="77">
          <cell r="H77" t="str">
            <v>0：通常</v>
          </cell>
          <cell r="I77">
            <v>0</v>
          </cell>
          <cell r="J77" t="str">
            <v>B4</v>
          </cell>
          <cell r="K77">
            <v>16</v>
          </cell>
          <cell r="L77">
            <v>6</v>
          </cell>
          <cell r="M77" t="str">
            <v>新春</v>
          </cell>
          <cell r="N77">
            <v>40168</v>
          </cell>
          <cell r="O77">
            <v>40271</v>
          </cell>
          <cell r="P77">
            <v>104</v>
          </cell>
          <cell r="Q77" t="str">
            <v>35日前</v>
          </cell>
          <cell r="R77">
            <v>40133</v>
          </cell>
          <cell r="S77">
            <v>40275</v>
          </cell>
          <cell r="T77">
            <v>40150</v>
          </cell>
          <cell r="U77">
            <v>40306</v>
          </cell>
          <cell r="V77" t="str">
            <v>1200→1300</v>
          </cell>
          <cell r="W77">
            <v>1298</v>
          </cell>
          <cell r="X77">
            <v>4</v>
          </cell>
          <cell r="Y77">
            <v>1</v>
          </cell>
          <cell r="Z77" t="str">
            <v>無償</v>
          </cell>
          <cell r="AA77" t="str">
            <v>通常体系</v>
          </cell>
          <cell r="AB77" t="str">
            <v>○</v>
          </cell>
          <cell r="AE77" t="str">
            <v>35日前</v>
          </cell>
          <cell r="AF77">
            <v>40133</v>
          </cell>
          <cell r="AG77">
            <v>40275</v>
          </cell>
          <cell r="AH77">
            <v>40150</v>
          </cell>
          <cell r="AI77">
            <v>40306</v>
          </cell>
          <cell r="AJ77" t="str">
            <v>1200→1300</v>
          </cell>
          <cell r="AK77">
            <v>1298</v>
          </cell>
          <cell r="AL77">
            <v>4</v>
          </cell>
          <cell r="AM77">
            <v>1</v>
          </cell>
          <cell r="AN77" t="str">
            <v>無償</v>
          </cell>
          <cell r="AO77" t="str">
            <v>通常体系</v>
          </cell>
          <cell r="AP77" t="str">
            <v>○</v>
          </cell>
        </row>
        <row r="78">
          <cell r="H78" t="str">
            <v>3：増枠</v>
          </cell>
          <cell r="I78">
            <v>3</v>
          </cell>
          <cell r="J78" t="str">
            <v>A4</v>
          </cell>
          <cell r="K78">
            <v>215</v>
          </cell>
          <cell r="L78">
            <v>1</v>
          </cell>
          <cell r="M78" t="str">
            <v>春</v>
          </cell>
          <cell r="N78">
            <v>40189</v>
          </cell>
          <cell r="O78">
            <v>40334</v>
          </cell>
          <cell r="P78">
            <v>146</v>
          </cell>
          <cell r="Q78" t="str">
            <v>35日前</v>
          </cell>
          <cell r="R78">
            <v>40154</v>
          </cell>
          <cell r="S78">
            <v>40338</v>
          </cell>
          <cell r="T78">
            <v>40171</v>
          </cell>
          <cell r="U78">
            <v>40369</v>
          </cell>
          <cell r="V78" t="str">
            <v>4100→4300→4400</v>
          </cell>
          <cell r="X78">
            <v>1</v>
          </cell>
          <cell r="Y78">
            <v>1</v>
          </cell>
          <cell r="Z78" t="str">
            <v>無償</v>
          </cell>
          <cell r="AA78" t="str">
            <v>通常体系</v>
          </cell>
          <cell r="AB78" t="str">
            <v>○</v>
          </cell>
          <cell r="AE78" t="str">
            <v>35日前</v>
          </cell>
          <cell r="AF78">
            <v>40154</v>
          </cell>
          <cell r="AG78">
            <v>40338</v>
          </cell>
          <cell r="AH78">
            <v>40171</v>
          </cell>
          <cell r="AI78">
            <v>40369</v>
          </cell>
          <cell r="AJ78" t="str">
            <v>4100→4300→4400</v>
          </cell>
          <cell r="AL78">
            <v>1</v>
          </cell>
          <cell r="AM78">
            <v>1</v>
          </cell>
          <cell r="AN78" t="str">
            <v>無償</v>
          </cell>
          <cell r="AO78" t="str">
            <v>通常体系</v>
          </cell>
          <cell r="AP78" t="str">
            <v>○</v>
          </cell>
        </row>
        <row r="79">
          <cell r="H79" t="str">
            <v>0：通常</v>
          </cell>
          <cell r="I79">
            <v>0</v>
          </cell>
          <cell r="J79" t="str">
            <v>B4</v>
          </cell>
          <cell r="K79">
            <v>16</v>
          </cell>
          <cell r="L79">
            <v>1</v>
          </cell>
          <cell r="M79" t="str">
            <v>春</v>
          </cell>
          <cell r="N79">
            <v>40175</v>
          </cell>
          <cell r="O79">
            <v>40278</v>
          </cell>
          <cell r="P79">
            <v>104</v>
          </cell>
          <cell r="Q79" t="str">
            <v>28日前</v>
          </cell>
          <cell r="R79">
            <v>40147</v>
          </cell>
          <cell r="S79">
            <v>40282</v>
          </cell>
          <cell r="T79">
            <v>40157</v>
          </cell>
          <cell r="U79">
            <v>40313</v>
          </cell>
          <cell r="V79">
            <v>1000</v>
          </cell>
          <cell r="X79">
            <v>25</v>
          </cell>
          <cell r="Y79">
            <v>1</v>
          </cell>
          <cell r="Z79" t="str">
            <v>無償</v>
          </cell>
          <cell r="AA79" t="str">
            <v>通常体系</v>
          </cell>
          <cell r="AB79" t="str">
            <v>×</v>
          </cell>
          <cell r="AE79" t="str">
            <v>28日前</v>
          </cell>
          <cell r="AF79">
            <v>40147</v>
          </cell>
          <cell r="AG79">
            <v>40282</v>
          </cell>
          <cell r="AH79">
            <v>40157</v>
          </cell>
          <cell r="AI79">
            <v>40313</v>
          </cell>
          <cell r="AJ79">
            <v>1000</v>
          </cell>
          <cell r="AL79">
            <v>25</v>
          </cell>
          <cell r="AM79">
            <v>1</v>
          </cell>
          <cell r="AN79" t="str">
            <v>無償</v>
          </cell>
          <cell r="AO79" t="str">
            <v>通常体系</v>
          </cell>
          <cell r="AP79" t="str">
            <v>×</v>
          </cell>
        </row>
        <row r="80">
          <cell r="H80" t="str">
            <v>1：新枠</v>
          </cell>
          <cell r="I80">
            <v>1</v>
          </cell>
          <cell r="J80" t="str">
            <v>B4</v>
          </cell>
          <cell r="K80">
            <v>16</v>
          </cell>
          <cell r="L80">
            <v>1</v>
          </cell>
          <cell r="M80" t="str">
            <v>春</v>
          </cell>
          <cell r="N80">
            <v>40189</v>
          </cell>
          <cell r="O80">
            <v>40278</v>
          </cell>
          <cell r="P80">
            <v>90</v>
          </cell>
          <cell r="Q80" t="str">
            <v>35日前</v>
          </cell>
          <cell r="R80">
            <v>40154</v>
          </cell>
          <cell r="S80">
            <v>40282</v>
          </cell>
          <cell r="T80">
            <v>40171</v>
          </cell>
          <cell r="U80">
            <v>40313</v>
          </cell>
          <cell r="V80">
            <v>500</v>
          </cell>
          <cell r="W80">
            <v>353</v>
          </cell>
          <cell r="X80">
            <v>4</v>
          </cell>
          <cell r="Y80">
            <v>1</v>
          </cell>
          <cell r="Z80" t="str">
            <v>無償</v>
          </cell>
          <cell r="AA80" t="str">
            <v>通常体系</v>
          </cell>
          <cell r="AB80" t="str">
            <v>○</v>
          </cell>
          <cell r="AE80" t="str">
            <v>35日前</v>
          </cell>
          <cell r="AF80">
            <v>40154</v>
          </cell>
          <cell r="AG80">
            <v>40282</v>
          </cell>
          <cell r="AH80">
            <v>40171</v>
          </cell>
          <cell r="AI80">
            <v>40313</v>
          </cell>
          <cell r="AJ80">
            <v>500</v>
          </cell>
          <cell r="AK80">
            <v>353</v>
          </cell>
          <cell r="AL80">
            <v>19</v>
          </cell>
          <cell r="AM80">
            <v>1</v>
          </cell>
          <cell r="AN80" t="str">
            <v>無償</v>
          </cell>
          <cell r="AO80" t="str">
            <v>通常体系</v>
          </cell>
          <cell r="AP80" t="str">
            <v>×</v>
          </cell>
        </row>
        <row r="81">
          <cell r="H81" t="str">
            <v>0：通常</v>
          </cell>
          <cell r="I81">
            <v>0</v>
          </cell>
          <cell r="J81" t="str">
            <v>B4</v>
          </cell>
          <cell r="K81">
            <v>16</v>
          </cell>
          <cell r="L81">
            <v>6</v>
          </cell>
          <cell r="M81" t="str">
            <v>新春</v>
          </cell>
          <cell r="N81">
            <v>40189</v>
          </cell>
          <cell r="O81">
            <v>40278</v>
          </cell>
          <cell r="P81">
            <v>90</v>
          </cell>
          <cell r="Q81" t="str">
            <v>35日前</v>
          </cell>
          <cell r="R81">
            <v>40154</v>
          </cell>
          <cell r="S81">
            <v>40282</v>
          </cell>
          <cell r="T81">
            <v>40171</v>
          </cell>
          <cell r="U81">
            <v>40313</v>
          </cell>
          <cell r="V81">
            <v>1700</v>
          </cell>
          <cell r="W81">
            <v>1674</v>
          </cell>
          <cell r="X81">
            <v>19</v>
          </cell>
          <cell r="Y81">
            <v>1</v>
          </cell>
          <cell r="Z81" t="str">
            <v>無償</v>
          </cell>
          <cell r="AA81" t="str">
            <v>通常体系</v>
          </cell>
          <cell r="AB81" t="str">
            <v>×</v>
          </cell>
          <cell r="AE81" t="str">
            <v>35日前</v>
          </cell>
          <cell r="AF81">
            <v>40154</v>
          </cell>
          <cell r="AG81">
            <v>40282</v>
          </cell>
          <cell r="AH81">
            <v>40171</v>
          </cell>
          <cell r="AI81">
            <v>40313</v>
          </cell>
          <cell r="AJ81">
            <v>1700</v>
          </cell>
          <cell r="AK81">
            <v>1674</v>
          </cell>
          <cell r="AL81">
            <v>4</v>
          </cell>
          <cell r="AM81">
            <v>1</v>
          </cell>
          <cell r="AN81" t="str">
            <v>無償</v>
          </cell>
          <cell r="AO81" t="str">
            <v>通常体系</v>
          </cell>
          <cell r="AP81" t="str">
            <v>○</v>
          </cell>
        </row>
        <row r="82">
          <cell r="H82" t="str">
            <v>1：新枠</v>
          </cell>
          <cell r="I82">
            <v>1</v>
          </cell>
          <cell r="J82" t="str">
            <v>B4</v>
          </cell>
          <cell r="K82">
            <v>16</v>
          </cell>
          <cell r="L82">
            <v>1</v>
          </cell>
          <cell r="M82" t="str">
            <v>春</v>
          </cell>
          <cell r="N82">
            <v>40196</v>
          </cell>
          <cell r="O82">
            <v>40299</v>
          </cell>
          <cell r="P82">
            <v>104</v>
          </cell>
          <cell r="Q82" t="str">
            <v>35日前</v>
          </cell>
          <cell r="R82">
            <v>40161</v>
          </cell>
          <cell r="S82">
            <v>40303</v>
          </cell>
          <cell r="T82">
            <v>40178</v>
          </cell>
          <cell r="U82">
            <v>40334</v>
          </cell>
          <cell r="V82">
            <v>700</v>
          </cell>
          <cell r="W82">
            <v>675</v>
          </cell>
          <cell r="X82">
            <v>4</v>
          </cell>
          <cell r="Y82">
            <v>1</v>
          </cell>
          <cell r="Z82" t="str">
            <v>無償</v>
          </cell>
          <cell r="AA82" t="str">
            <v>通常体系</v>
          </cell>
          <cell r="AB82" t="str">
            <v>○</v>
          </cell>
          <cell r="AE82" t="str">
            <v>35日前</v>
          </cell>
          <cell r="AF82">
            <v>40161</v>
          </cell>
          <cell r="AG82">
            <v>40303</v>
          </cell>
          <cell r="AH82">
            <v>40178</v>
          </cell>
          <cell r="AI82">
            <v>40334</v>
          </cell>
          <cell r="AJ82">
            <v>700</v>
          </cell>
          <cell r="AK82">
            <v>675</v>
          </cell>
          <cell r="AL82">
            <v>23</v>
          </cell>
          <cell r="AM82">
            <v>1</v>
          </cell>
          <cell r="AN82" t="str">
            <v>無償</v>
          </cell>
          <cell r="AO82" t="str">
            <v>通常体系</v>
          </cell>
          <cell r="AP82" t="str">
            <v>×</v>
          </cell>
        </row>
        <row r="83">
          <cell r="H83" t="str">
            <v>1：新枠</v>
          </cell>
          <cell r="I83">
            <v>1</v>
          </cell>
          <cell r="J83" t="str">
            <v>B4</v>
          </cell>
          <cell r="K83">
            <v>16</v>
          </cell>
          <cell r="L83">
            <v>1</v>
          </cell>
          <cell r="M83" t="str">
            <v>春</v>
          </cell>
          <cell r="N83">
            <v>40196</v>
          </cell>
          <cell r="O83">
            <v>40285</v>
          </cell>
          <cell r="P83">
            <v>90</v>
          </cell>
          <cell r="Q83" t="str">
            <v>35日前</v>
          </cell>
          <cell r="R83">
            <v>40161</v>
          </cell>
          <cell r="S83">
            <v>40289</v>
          </cell>
          <cell r="T83">
            <v>40178</v>
          </cell>
          <cell r="U83">
            <v>40320</v>
          </cell>
          <cell r="V83">
            <v>500</v>
          </cell>
          <cell r="W83">
            <v>294</v>
          </cell>
          <cell r="X83">
            <v>23</v>
          </cell>
          <cell r="Y83">
            <v>1</v>
          </cell>
          <cell r="Z83" t="str">
            <v>無償</v>
          </cell>
          <cell r="AA83" t="str">
            <v>通常体系</v>
          </cell>
          <cell r="AB83" t="str">
            <v>×</v>
          </cell>
          <cell r="AE83" t="str">
            <v>35日前</v>
          </cell>
          <cell r="AF83">
            <v>40161</v>
          </cell>
          <cell r="AG83">
            <v>40289</v>
          </cell>
          <cell r="AH83">
            <v>40178</v>
          </cell>
          <cell r="AI83">
            <v>40320</v>
          </cell>
          <cell r="AJ83">
            <v>500</v>
          </cell>
          <cell r="AK83">
            <v>294</v>
          </cell>
          <cell r="AL83">
            <v>1</v>
          </cell>
          <cell r="AM83">
            <v>1</v>
          </cell>
          <cell r="AN83" t="str">
            <v>無償</v>
          </cell>
          <cell r="AO83" t="str">
            <v>通常体系</v>
          </cell>
          <cell r="AP83" t="str">
            <v>○</v>
          </cell>
        </row>
        <row r="84">
          <cell r="H84" t="str">
            <v>3：増枠</v>
          </cell>
          <cell r="I84">
            <v>3</v>
          </cell>
          <cell r="J84" t="str">
            <v>A4変型版</v>
          </cell>
          <cell r="K84">
            <v>103</v>
          </cell>
          <cell r="L84">
            <v>1</v>
          </cell>
          <cell r="M84" t="str">
            <v>春</v>
          </cell>
          <cell r="N84">
            <v>40189</v>
          </cell>
          <cell r="O84">
            <v>40292</v>
          </cell>
          <cell r="P84">
            <v>104</v>
          </cell>
          <cell r="Q84" t="str">
            <v>35日前</v>
          </cell>
          <cell r="R84">
            <v>40154</v>
          </cell>
          <cell r="S84">
            <v>40296</v>
          </cell>
          <cell r="T84">
            <v>40171</v>
          </cell>
          <cell r="U84">
            <v>40327</v>
          </cell>
          <cell r="V84" t="str">
            <v>3400→4100</v>
          </cell>
          <cell r="W84">
            <v>4060</v>
          </cell>
          <cell r="X84">
            <v>1</v>
          </cell>
          <cell r="Y84">
            <v>1</v>
          </cell>
          <cell r="Z84" t="str">
            <v>無償</v>
          </cell>
          <cell r="AA84" t="str">
            <v>通常体系</v>
          </cell>
          <cell r="AB84" t="str">
            <v>○</v>
          </cell>
          <cell r="AE84" t="str">
            <v>35日前</v>
          </cell>
          <cell r="AF84">
            <v>40154</v>
          </cell>
          <cell r="AG84">
            <v>40296</v>
          </cell>
          <cell r="AH84">
            <v>40171</v>
          </cell>
          <cell r="AI84">
            <v>40327</v>
          </cell>
          <cell r="AJ84" t="str">
            <v>3400→4100</v>
          </cell>
          <cell r="AK84">
            <v>4060</v>
          </cell>
          <cell r="AL84">
            <v>1</v>
          </cell>
          <cell r="AM84">
            <v>1</v>
          </cell>
          <cell r="AN84" t="str">
            <v>無償</v>
          </cell>
          <cell r="AO84" t="str">
            <v>通常体系</v>
          </cell>
          <cell r="AP84" t="str">
            <v>○</v>
          </cell>
        </row>
        <row r="85">
          <cell r="H85" t="str">
            <v>0：通常</v>
          </cell>
          <cell r="I85">
            <v>0</v>
          </cell>
          <cell r="J85" t="str">
            <v>B4</v>
          </cell>
          <cell r="K85">
            <v>16</v>
          </cell>
          <cell r="L85">
            <v>1</v>
          </cell>
          <cell r="M85" t="str">
            <v>春</v>
          </cell>
          <cell r="N85">
            <v>40196</v>
          </cell>
          <cell r="O85">
            <v>40292</v>
          </cell>
          <cell r="P85">
            <v>97</v>
          </cell>
          <cell r="Q85" t="str">
            <v>35日前</v>
          </cell>
          <cell r="R85">
            <v>40161</v>
          </cell>
          <cell r="S85">
            <v>40296</v>
          </cell>
          <cell r="T85">
            <v>40178</v>
          </cell>
          <cell r="U85">
            <v>40327</v>
          </cell>
          <cell r="V85" t="str">
            <v>800→900</v>
          </cell>
          <cell r="W85">
            <v>885</v>
          </cell>
          <cell r="X85">
            <v>15</v>
          </cell>
          <cell r="Y85">
            <v>1</v>
          </cell>
          <cell r="Z85" t="str">
            <v>無償</v>
          </cell>
          <cell r="AA85" t="str">
            <v>通常体系</v>
          </cell>
          <cell r="AB85" t="str">
            <v>×</v>
          </cell>
          <cell r="AE85" t="str">
            <v>35日前</v>
          </cell>
          <cell r="AF85">
            <v>40161</v>
          </cell>
          <cell r="AG85">
            <v>40296</v>
          </cell>
          <cell r="AH85">
            <v>40178</v>
          </cell>
          <cell r="AI85">
            <v>40327</v>
          </cell>
          <cell r="AJ85" t="str">
            <v>800→900</v>
          </cell>
          <cell r="AK85">
            <v>885</v>
          </cell>
          <cell r="AL85">
            <v>2</v>
          </cell>
          <cell r="AM85">
            <v>1</v>
          </cell>
          <cell r="AN85" t="str">
            <v>無償</v>
          </cell>
          <cell r="AO85" t="str">
            <v>通常体系</v>
          </cell>
          <cell r="AP85" t="str">
            <v>×</v>
          </cell>
        </row>
        <row r="86">
          <cell r="H86" t="str">
            <v>0：通常</v>
          </cell>
          <cell r="I86">
            <v>0</v>
          </cell>
          <cell r="J86" t="str">
            <v>B4</v>
          </cell>
          <cell r="K86">
            <v>24</v>
          </cell>
          <cell r="L86">
            <v>1</v>
          </cell>
          <cell r="M86" t="str">
            <v>春</v>
          </cell>
          <cell r="N86">
            <v>40203</v>
          </cell>
          <cell r="O86">
            <v>40285</v>
          </cell>
          <cell r="P86">
            <v>83</v>
          </cell>
          <cell r="Q86" t="str">
            <v>35日前</v>
          </cell>
          <cell r="R86">
            <v>40168</v>
          </cell>
          <cell r="S86">
            <v>40289</v>
          </cell>
          <cell r="T86">
            <v>40185</v>
          </cell>
          <cell r="U86">
            <v>40320</v>
          </cell>
          <cell r="V86">
            <v>1300</v>
          </cell>
          <cell r="X86">
            <v>2</v>
          </cell>
          <cell r="Y86">
            <v>1</v>
          </cell>
          <cell r="Z86" t="str">
            <v>無償</v>
          </cell>
          <cell r="AA86" t="str">
            <v>通常体系</v>
          </cell>
          <cell r="AB86" t="str">
            <v>×</v>
          </cell>
          <cell r="AE86" t="str">
            <v>35日前</v>
          </cell>
          <cell r="AF86">
            <v>40168</v>
          </cell>
          <cell r="AG86">
            <v>40289</v>
          </cell>
          <cell r="AH86">
            <v>40185</v>
          </cell>
          <cell r="AI86">
            <v>40320</v>
          </cell>
          <cell r="AJ86">
            <v>1300</v>
          </cell>
          <cell r="AL86">
            <v>2</v>
          </cell>
          <cell r="AM86">
            <v>1</v>
          </cell>
          <cell r="AN86" t="str">
            <v>無償</v>
          </cell>
          <cell r="AO86" t="str">
            <v>通常体系</v>
          </cell>
          <cell r="AP86" t="str">
            <v>×</v>
          </cell>
        </row>
        <row r="87">
          <cell r="H87" t="str">
            <v>1：新枠</v>
          </cell>
          <cell r="I87">
            <v>1</v>
          </cell>
          <cell r="J87" t="str">
            <v>B4</v>
          </cell>
          <cell r="K87">
            <v>16</v>
          </cell>
          <cell r="L87">
            <v>1</v>
          </cell>
          <cell r="M87" t="str">
            <v>春</v>
          </cell>
          <cell r="N87">
            <v>40210</v>
          </cell>
          <cell r="O87">
            <v>40292</v>
          </cell>
          <cell r="P87">
            <v>83</v>
          </cell>
          <cell r="Q87" t="str">
            <v>35日前</v>
          </cell>
          <cell r="R87">
            <v>40175</v>
          </cell>
          <cell r="S87">
            <v>40296</v>
          </cell>
          <cell r="T87">
            <v>40192</v>
          </cell>
          <cell r="U87">
            <v>40327</v>
          </cell>
          <cell r="V87">
            <v>1000</v>
          </cell>
          <cell r="X87">
            <v>4</v>
          </cell>
          <cell r="Y87">
            <v>1</v>
          </cell>
          <cell r="Z87" t="str">
            <v>無償</v>
          </cell>
          <cell r="AA87" t="str">
            <v>通常体系</v>
          </cell>
          <cell r="AB87" t="str">
            <v>○</v>
          </cell>
          <cell r="AE87" t="str">
            <v>35日前</v>
          </cell>
          <cell r="AF87">
            <v>40175</v>
          </cell>
          <cell r="AG87">
            <v>40296</v>
          </cell>
          <cell r="AH87">
            <v>40192</v>
          </cell>
          <cell r="AI87">
            <v>40327</v>
          </cell>
          <cell r="AJ87">
            <v>1000</v>
          </cell>
          <cell r="AL87">
            <v>4</v>
          </cell>
          <cell r="AM87">
            <v>1</v>
          </cell>
          <cell r="AN87" t="str">
            <v>無償</v>
          </cell>
          <cell r="AO87" t="str">
            <v>通常体系</v>
          </cell>
          <cell r="AP87" t="str">
            <v>○</v>
          </cell>
        </row>
        <row r="88">
          <cell r="H88" t="str">
            <v>0：通常</v>
          </cell>
          <cell r="I88">
            <v>0</v>
          </cell>
          <cell r="J88" t="str">
            <v>B4</v>
          </cell>
          <cell r="K88">
            <v>16</v>
          </cell>
          <cell r="L88">
            <v>1</v>
          </cell>
          <cell r="M88" t="str">
            <v>春</v>
          </cell>
          <cell r="N88">
            <v>40210</v>
          </cell>
          <cell r="O88">
            <v>40299</v>
          </cell>
          <cell r="P88">
            <v>90</v>
          </cell>
          <cell r="Q88" t="str">
            <v>35日前</v>
          </cell>
          <cell r="R88">
            <v>40175</v>
          </cell>
          <cell r="S88">
            <v>40303</v>
          </cell>
          <cell r="T88">
            <v>40192</v>
          </cell>
          <cell r="U88">
            <v>40334</v>
          </cell>
          <cell r="V88">
            <v>1300</v>
          </cell>
          <cell r="X88">
            <v>4</v>
          </cell>
          <cell r="Y88">
            <v>1</v>
          </cell>
          <cell r="Z88" t="str">
            <v>無償</v>
          </cell>
          <cell r="AA88" t="str">
            <v>通常体系</v>
          </cell>
          <cell r="AB88" t="str">
            <v>○</v>
          </cell>
          <cell r="AE88" t="str">
            <v>35日前</v>
          </cell>
          <cell r="AF88">
            <v>40175</v>
          </cell>
          <cell r="AG88">
            <v>40303</v>
          </cell>
          <cell r="AH88">
            <v>40192</v>
          </cell>
          <cell r="AI88">
            <v>40334</v>
          </cell>
          <cell r="AJ88">
            <v>1300</v>
          </cell>
          <cell r="AL88">
            <v>4</v>
          </cell>
          <cell r="AM88">
            <v>1</v>
          </cell>
          <cell r="AN88" t="str">
            <v>無償</v>
          </cell>
          <cell r="AO88" t="str">
            <v>通常体系</v>
          </cell>
          <cell r="AP88" t="str">
            <v>○</v>
          </cell>
        </row>
        <row r="89">
          <cell r="H89" t="str">
            <v>1：新枠</v>
          </cell>
          <cell r="I89">
            <v>1</v>
          </cell>
          <cell r="J89" t="str">
            <v>B4</v>
          </cell>
          <cell r="K89">
            <v>16</v>
          </cell>
          <cell r="L89">
            <v>1</v>
          </cell>
          <cell r="M89" t="str">
            <v>春</v>
          </cell>
          <cell r="N89">
            <v>40217</v>
          </cell>
          <cell r="O89">
            <v>40292</v>
          </cell>
          <cell r="P89">
            <v>76</v>
          </cell>
          <cell r="Q89" t="str">
            <v>35日前</v>
          </cell>
          <cell r="R89">
            <v>40182</v>
          </cell>
          <cell r="S89">
            <v>40296</v>
          </cell>
          <cell r="T89">
            <v>40199</v>
          </cell>
          <cell r="U89">
            <v>40327</v>
          </cell>
          <cell r="V89" t="str">
            <v>900→1000</v>
          </cell>
          <cell r="W89">
            <v>941</v>
          </cell>
          <cell r="X89">
            <v>2</v>
          </cell>
          <cell r="Y89">
            <v>1</v>
          </cell>
          <cell r="Z89" t="str">
            <v>無償</v>
          </cell>
          <cell r="AA89" t="str">
            <v>通常体系</v>
          </cell>
          <cell r="AB89" t="str">
            <v>×</v>
          </cell>
          <cell r="AE89" t="str">
            <v>35日前</v>
          </cell>
          <cell r="AF89">
            <v>40182</v>
          </cell>
          <cell r="AG89">
            <v>40296</v>
          </cell>
          <cell r="AH89">
            <v>40199</v>
          </cell>
          <cell r="AI89">
            <v>40327</v>
          </cell>
          <cell r="AJ89" t="str">
            <v>900→1000</v>
          </cell>
          <cell r="AK89">
            <v>941</v>
          </cell>
          <cell r="AL89">
            <v>2</v>
          </cell>
          <cell r="AM89">
            <v>1</v>
          </cell>
          <cell r="AN89" t="str">
            <v>無償</v>
          </cell>
          <cell r="AO89" t="str">
            <v>通常体系</v>
          </cell>
          <cell r="AP89" t="str">
            <v>×</v>
          </cell>
        </row>
        <row r="90">
          <cell r="H90" t="str">
            <v>1：新枠</v>
          </cell>
          <cell r="I90">
            <v>1</v>
          </cell>
          <cell r="J90" t="str">
            <v>B4</v>
          </cell>
          <cell r="K90">
            <v>8</v>
          </cell>
          <cell r="L90">
            <v>1</v>
          </cell>
          <cell r="M90" t="str">
            <v>春</v>
          </cell>
          <cell r="N90">
            <v>40217</v>
          </cell>
          <cell r="O90">
            <v>40299</v>
          </cell>
          <cell r="P90">
            <v>83</v>
          </cell>
          <cell r="Q90" t="str">
            <v>35日前</v>
          </cell>
          <cell r="R90">
            <v>40182</v>
          </cell>
          <cell r="S90">
            <v>40303</v>
          </cell>
          <cell r="T90">
            <v>40199</v>
          </cell>
          <cell r="U90">
            <v>40334</v>
          </cell>
          <cell r="V90">
            <v>400</v>
          </cell>
          <cell r="X90">
            <v>15</v>
          </cell>
          <cell r="Y90">
            <v>1</v>
          </cell>
          <cell r="Z90" t="str">
            <v>無償</v>
          </cell>
          <cell r="AA90" t="str">
            <v>通常体系</v>
          </cell>
          <cell r="AB90" t="str">
            <v>×</v>
          </cell>
          <cell r="AE90" t="str">
            <v>35日前</v>
          </cell>
          <cell r="AF90">
            <v>40182</v>
          </cell>
          <cell r="AG90">
            <v>40303</v>
          </cell>
          <cell r="AH90">
            <v>40199</v>
          </cell>
          <cell r="AI90">
            <v>40334</v>
          </cell>
          <cell r="AJ90">
            <v>400</v>
          </cell>
          <cell r="AL90">
            <v>15</v>
          </cell>
          <cell r="AM90">
            <v>1</v>
          </cell>
          <cell r="AN90" t="str">
            <v>無償</v>
          </cell>
          <cell r="AO90" t="str">
            <v>通常体系</v>
          </cell>
          <cell r="AP90" t="str">
            <v>×</v>
          </cell>
        </row>
        <row r="91">
          <cell r="H91" t="str">
            <v>0：通常</v>
          </cell>
          <cell r="I91">
            <v>0</v>
          </cell>
          <cell r="J91" t="str">
            <v>B4</v>
          </cell>
          <cell r="K91">
            <v>16</v>
          </cell>
          <cell r="L91">
            <v>1</v>
          </cell>
          <cell r="M91" t="str">
            <v>春</v>
          </cell>
          <cell r="N91">
            <v>40231</v>
          </cell>
          <cell r="O91">
            <v>40299</v>
          </cell>
          <cell r="P91">
            <v>69</v>
          </cell>
          <cell r="Q91" t="str">
            <v>35日前</v>
          </cell>
          <cell r="R91">
            <v>40196</v>
          </cell>
          <cell r="S91">
            <v>40303</v>
          </cell>
          <cell r="T91">
            <v>40213</v>
          </cell>
          <cell r="U91">
            <v>40334</v>
          </cell>
          <cell r="V91">
            <v>500</v>
          </cell>
          <cell r="X91">
            <v>21</v>
          </cell>
          <cell r="Y91">
            <v>1</v>
          </cell>
          <cell r="Z91" t="str">
            <v>無償</v>
          </cell>
          <cell r="AA91" t="str">
            <v>通常体系</v>
          </cell>
          <cell r="AB91" t="str">
            <v>×</v>
          </cell>
          <cell r="AE91" t="str">
            <v>35日前</v>
          </cell>
          <cell r="AF91">
            <v>40196</v>
          </cell>
          <cell r="AG91">
            <v>40303</v>
          </cell>
          <cell r="AH91">
            <v>40213</v>
          </cell>
          <cell r="AI91">
            <v>40334</v>
          </cell>
          <cell r="AJ91">
            <v>500</v>
          </cell>
          <cell r="AL91">
            <v>21</v>
          </cell>
          <cell r="AM91">
            <v>1</v>
          </cell>
          <cell r="AN91" t="str">
            <v>無償</v>
          </cell>
          <cell r="AO91" t="str">
            <v>通常体系</v>
          </cell>
          <cell r="AP91" t="str">
            <v>×</v>
          </cell>
        </row>
        <row r="92">
          <cell r="R92">
            <v>1</v>
          </cell>
          <cell r="T92">
            <v>0</v>
          </cell>
          <cell r="AE92" t="str">
            <v>35日前</v>
          </cell>
          <cell r="AM92">
            <v>1</v>
          </cell>
          <cell r="AN92" t="str">
            <v>無償</v>
          </cell>
          <cell r="AO92" t="str">
            <v>通常体系</v>
          </cell>
        </row>
        <row r="93">
          <cell r="R93">
            <v>1</v>
          </cell>
          <cell r="T93">
            <v>0</v>
          </cell>
          <cell r="AE93" t="str">
            <v>35日前</v>
          </cell>
          <cell r="AM93">
            <v>1</v>
          </cell>
          <cell r="AN93" t="str">
            <v>無償</v>
          </cell>
          <cell r="AO93" t="str">
            <v>通常体系</v>
          </cell>
        </row>
        <row r="94">
          <cell r="R94">
            <v>1</v>
          </cell>
          <cell r="AE94" t="str">
            <v>35日前</v>
          </cell>
          <cell r="AM94">
            <v>1</v>
          </cell>
          <cell r="AN94" t="str">
            <v>無償</v>
          </cell>
          <cell r="AO94" t="str">
            <v>通常体系</v>
          </cell>
        </row>
        <row r="95">
          <cell r="R95">
            <v>1</v>
          </cell>
          <cell r="AE95" t="str">
            <v>35日前</v>
          </cell>
          <cell r="AM95">
            <v>1</v>
          </cell>
          <cell r="AN95" t="str">
            <v>無償</v>
          </cell>
          <cell r="AO95" t="str">
            <v>通常体系</v>
          </cell>
        </row>
        <row r="96">
          <cell r="R96">
            <v>1</v>
          </cell>
          <cell r="AE96" t="str">
            <v>35日前</v>
          </cell>
          <cell r="AM96">
            <v>1</v>
          </cell>
          <cell r="AN96" t="str">
            <v>無償</v>
          </cell>
          <cell r="AO96" t="str">
            <v>通常体系</v>
          </cell>
        </row>
        <row r="97">
          <cell r="R97">
            <v>1</v>
          </cell>
          <cell r="AE97" t="str">
            <v>35日前</v>
          </cell>
          <cell r="AM97">
            <v>1</v>
          </cell>
          <cell r="AN97" t="str">
            <v>無償</v>
          </cell>
          <cell r="AO97" t="str">
            <v>通常体系</v>
          </cell>
        </row>
        <row r="98">
          <cell r="R98">
            <v>1</v>
          </cell>
          <cell r="AE98" t="str">
            <v>35日前</v>
          </cell>
          <cell r="AM98">
            <v>1</v>
          </cell>
          <cell r="AN98" t="str">
            <v>無償</v>
          </cell>
          <cell r="AO98" t="str">
            <v>通常体系</v>
          </cell>
        </row>
        <row r="99">
          <cell r="R99">
            <v>1</v>
          </cell>
          <cell r="S99" t="str">
            <v>35日前</v>
          </cell>
          <cell r="T99">
            <v>39804</v>
          </cell>
          <cell r="U99">
            <v>39925</v>
          </cell>
          <cell r="V99">
            <v>39821</v>
          </cell>
          <cell r="W99">
            <v>39956</v>
          </cell>
          <cell r="X99" t="str">
            <v>300→500</v>
          </cell>
          <cell r="Z99">
            <v>21</v>
          </cell>
          <cell r="AA99">
            <v>49</v>
          </cell>
          <cell r="AB99" t="str">
            <v>無償</v>
          </cell>
          <cell r="AC99" t="str">
            <v>通常体系</v>
          </cell>
          <cell r="AE99" t="str">
            <v>35日前</v>
          </cell>
          <cell r="AM99">
            <v>1</v>
          </cell>
          <cell r="AN99" t="str">
            <v>無償</v>
          </cell>
          <cell r="AO99" t="str">
            <v>通常体系</v>
          </cell>
        </row>
        <row r="100">
          <cell r="R100">
            <v>1</v>
          </cell>
          <cell r="S100" t="str">
            <v>35日前</v>
          </cell>
          <cell r="T100">
            <v>39804</v>
          </cell>
          <cell r="U100">
            <v>39925</v>
          </cell>
          <cell r="V100">
            <v>39821</v>
          </cell>
          <cell r="W100">
            <v>39956</v>
          </cell>
          <cell r="X100" t="str">
            <v>300→500</v>
          </cell>
          <cell r="Z100">
            <v>21</v>
          </cell>
          <cell r="AA100">
            <v>49</v>
          </cell>
          <cell r="AB100" t="str">
            <v>無償</v>
          </cell>
          <cell r="AC100" t="str">
            <v>通常体系</v>
          </cell>
          <cell r="AE100" t="str">
            <v>35日前</v>
          </cell>
          <cell r="AM100">
            <v>1</v>
          </cell>
          <cell r="AN100" t="str">
            <v>無償</v>
          </cell>
          <cell r="AO100" t="str">
            <v>通常体系</v>
          </cell>
        </row>
        <row r="101">
          <cell r="R101">
            <v>1</v>
          </cell>
          <cell r="T101">
            <v>0</v>
          </cell>
          <cell r="AE101" t="str">
            <v>35日前</v>
          </cell>
          <cell r="AM101">
            <v>1</v>
          </cell>
          <cell r="AN101" t="str">
            <v>無償</v>
          </cell>
          <cell r="AO101" t="str">
            <v>通常体系</v>
          </cell>
        </row>
        <row r="102">
          <cell r="R102">
            <v>1</v>
          </cell>
          <cell r="T102">
            <v>0</v>
          </cell>
          <cell r="AE102" t="str">
            <v>35日前</v>
          </cell>
          <cell r="AM102">
            <v>1</v>
          </cell>
          <cell r="AN102" t="str">
            <v>無償</v>
          </cell>
          <cell r="AO102" t="str">
            <v>通常体系</v>
          </cell>
        </row>
        <row r="103">
          <cell r="R103">
            <v>1</v>
          </cell>
          <cell r="T103">
            <v>0</v>
          </cell>
          <cell r="AE103" t="str">
            <v>35日前</v>
          </cell>
          <cell r="AM103">
            <v>1</v>
          </cell>
          <cell r="AN103" t="str">
            <v>無償</v>
          </cell>
          <cell r="AO103" t="str">
            <v>通常体系</v>
          </cell>
        </row>
        <row r="104">
          <cell r="R104">
            <v>1</v>
          </cell>
          <cell r="T104">
            <v>0</v>
          </cell>
          <cell r="AE104" t="str">
            <v>35日前</v>
          </cell>
          <cell r="AM104">
            <v>1</v>
          </cell>
          <cell r="AN104" t="str">
            <v>無償</v>
          </cell>
          <cell r="AO104" t="str">
            <v>通常体系</v>
          </cell>
        </row>
        <row r="105">
          <cell r="R105">
            <v>1</v>
          </cell>
          <cell r="AE105" t="str">
            <v>35日前</v>
          </cell>
          <cell r="AM105">
            <v>1</v>
          </cell>
          <cell r="AN105" t="str">
            <v>無償</v>
          </cell>
          <cell r="AO105" t="str">
            <v>通常体系</v>
          </cell>
        </row>
        <row r="106">
          <cell r="R106">
            <v>1</v>
          </cell>
          <cell r="T106">
            <v>0</v>
          </cell>
          <cell r="AE106" t="str">
            <v>35日前</v>
          </cell>
          <cell r="AM106">
            <v>1</v>
          </cell>
          <cell r="AN106" t="str">
            <v>無償</v>
          </cell>
          <cell r="AO106" t="str">
            <v>通常体系</v>
          </cell>
        </row>
        <row r="107">
          <cell r="R107">
            <v>1</v>
          </cell>
          <cell r="T107">
            <v>0</v>
          </cell>
          <cell r="AE107" t="str">
            <v>35日前</v>
          </cell>
          <cell r="AM107">
            <v>1</v>
          </cell>
          <cell r="AN107" t="str">
            <v>無償</v>
          </cell>
          <cell r="AO107" t="str">
            <v>通常体系</v>
          </cell>
        </row>
        <row r="108">
          <cell r="R108">
            <v>1</v>
          </cell>
          <cell r="T108">
            <v>0</v>
          </cell>
          <cell r="AE108" t="str">
            <v>35日前</v>
          </cell>
          <cell r="AM108">
            <v>1</v>
          </cell>
          <cell r="AN108" t="str">
            <v>無償</v>
          </cell>
          <cell r="AO108" t="str">
            <v>通常体系</v>
          </cell>
        </row>
        <row r="109">
          <cell r="R109">
            <v>1</v>
          </cell>
          <cell r="T109">
            <v>0</v>
          </cell>
          <cell r="AE109" t="str">
            <v>35日前</v>
          </cell>
          <cell r="AM109">
            <v>1</v>
          </cell>
          <cell r="AN109" t="str">
            <v>無償</v>
          </cell>
          <cell r="AO109" t="str">
            <v>通常体系</v>
          </cell>
        </row>
        <row r="110">
          <cell r="R110">
            <v>1</v>
          </cell>
          <cell r="T110">
            <v>0</v>
          </cell>
          <cell r="AE110" t="str">
            <v>35日前</v>
          </cell>
          <cell r="AM110">
            <v>1</v>
          </cell>
          <cell r="AN110" t="str">
            <v>無償</v>
          </cell>
          <cell r="AO110" t="str">
            <v>通常体系</v>
          </cell>
        </row>
        <row r="111">
          <cell r="R111">
            <v>1</v>
          </cell>
          <cell r="T111">
            <v>0</v>
          </cell>
          <cell r="AE111" t="str">
            <v>35日前</v>
          </cell>
          <cell r="AM111">
            <v>1</v>
          </cell>
          <cell r="AN111" t="str">
            <v>無償</v>
          </cell>
          <cell r="AO111" t="str">
            <v>通常体系</v>
          </cell>
        </row>
      </sheetData>
      <sheetData sheetId="4">
        <row r="3">
          <cell r="H3" t="str">
            <v>ｶﾀﾛｸﾞ部号番号</v>
          </cell>
        </row>
      </sheetData>
      <sheetData sheetId="5"/>
      <sheetData sheetId="6" refreshError="1">
        <row r="3">
          <cell r="H3" t="str">
            <v>ｶﾀﾛｸﾞ部号番号</v>
          </cell>
          <cell r="I3" t="str">
            <v>ｷｬﾛｯﾄ部原稿号数</v>
          </cell>
          <cell r="J3" t="str">
            <v>ちば号数</v>
          </cell>
          <cell r="K3" t="str">
            <v>展開開始日</v>
          </cell>
          <cell r="L3" t="str">
            <v>展開終了日</v>
          </cell>
          <cell r="M3" t="str">
            <v>実質終了日</v>
          </cell>
          <cell r="N3" t="str">
            <v>展開日数</v>
          </cell>
          <cell r="O3" t="str">
            <v>申込番号枠</v>
          </cell>
          <cell r="P3" t="str">
            <v>計画ＳＫＵ枠</v>
          </cell>
          <cell r="Q3" t="str">
            <v>実ＳＫＵ</v>
          </cell>
          <cell r="R3" t="str">
            <v>CATS登録日</v>
          </cell>
          <cell r="S3" t="str">
            <v>マスタFD発送日</v>
          </cell>
          <cell r="T3" t="str">
            <v>マスタ削除日</v>
          </cell>
          <cell r="U3" t="str">
            <v>変更履歴</v>
          </cell>
          <cell r="V3" t="str">
            <v>備考</v>
          </cell>
        </row>
        <row r="4">
          <cell r="H4">
            <v>67</v>
          </cell>
          <cell r="K4">
            <v>39881</v>
          </cell>
          <cell r="L4">
            <v>39907</v>
          </cell>
          <cell r="M4">
            <v>39911</v>
          </cell>
          <cell r="N4">
            <v>27</v>
          </cell>
          <cell r="O4" t="str">
            <v>新枠（＋１）</v>
          </cell>
          <cell r="P4">
            <v>500</v>
          </cell>
          <cell r="Q4">
            <v>320</v>
          </cell>
          <cell r="R4">
            <v>39846</v>
          </cell>
          <cell r="S4">
            <v>39863</v>
          </cell>
          <cell r="T4">
            <v>39942</v>
          </cell>
          <cell r="U4" t="str">
            <v>2008/11/4展開期間：3/16-5/9→3/9-5/2（1週間繰り上げ）、　　　　　　　　　　　   媒体名称：「08週宅853（4-3）67」→「09週宅852（4-2）67」    　　　　　　　　　　　　　　2008/11/6終了日2009/5/2→2009/4/4</v>
          </cell>
        </row>
        <row r="5">
          <cell r="H5">
            <v>68</v>
          </cell>
          <cell r="K5">
            <v>39888</v>
          </cell>
          <cell r="L5">
            <v>39914</v>
          </cell>
          <cell r="M5">
            <v>39918</v>
          </cell>
          <cell r="N5">
            <v>27</v>
          </cell>
          <cell r="O5" t="str">
            <v>新枠（＋１）</v>
          </cell>
          <cell r="P5">
            <v>500</v>
          </cell>
          <cell r="Q5">
            <v>197</v>
          </cell>
          <cell r="R5">
            <v>39853</v>
          </cell>
          <cell r="S5">
            <v>39870</v>
          </cell>
          <cell r="T5">
            <v>39949</v>
          </cell>
          <cell r="U5" t="str">
            <v>2008/11/4展開期間：3/23-5/16→3/16-5/9（1週間繰り上げ）、　　　　　　　　　　　媒体名称：「09週宅854（4-4）68」→「09週宅901（4-3）68」　　　　　　　　　　　　　2008/11/6終了日2009/5/9→2009/4/11</v>
          </cell>
        </row>
        <row r="6">
          <cell r="H6">
            <v>69</v>
          </cell>
          <cell r="K6">
            <v>39895</v>
          </cell>
          <cell r="L6">
            <v>39921</v>
          </cell>
          <cell r="M6">
            <v>39925</v>
          </cell>
          <cell r="N6">
            <v>27</v>
          </cell>
          <cell r="O6" t="str">
            <v>新枠（＋１）</v>
          </cell>
          <cell r="P6">
            <v>500</v>
          </cell>
          <cell r="Q6">
            <v>245</v>
          </cell>
          <cell r="R6">
            <v>39860</v>
          </cell>
          <cell r="S6">
            <v>39877</v>
          </cell>
          <cell r="T6">
            <v>39956</v>
          </cell>
          <cell r="U6" t="str">
            <v>2008/11/4展開期間：3/30-5/23→3/23-5/16（1週間繰り上げ）、　　　　　　　　　　 　媒体名称：「09週宅855（4-5）69」→「09週宅902（4-4）69」　　　　　　　　　　　　2008/11/6終了日2009/5/16→2009/4/18</v>
          </cell>
        </row>
        <row r="7">
          <cell r="H7">
            <v>70</v>
          </cell>
          <cell r="K7">
            <v>39909</v>
          </cell>
          <cell r="L7">
            <v>39963</v>
          </cell>
          <cell r="M7">
            <v>39967</v>
          </cell>
          <cell r="N7">
            <v>55</v>
          </cell>
          <cell r="O7" t="str">
            <v>新枠（＋１）</v>
          </cell>
          <cell r="P7">
            <v>500</v>
          </cell>
          <cell r="R7">
            <v>39874</v>
          </cell>
          <cell r="S7">
            <v>39891</v>
          </cell>
          <cell r="T7">
            <v>39998</v>
          </cell>
          <cell r="U7" t="str">
            <v>2008/11/4企画中止</v>
          </cell>
        </row>
        <row r="8">
          <cell r="H8">
            <v>71</v>
          </cell>
          <cell r="K8">
            <v>39916</v>
          </cell>
          <cell r="L8">
            <v>39970</v>
          </cell>
          <cell r="M8">
            <v>39974</v>
          </cell>
          <cell r="N8">
            <v>55</v>
          </cell>
          <cell r="O8" t="str">
            <v>新枠（＋１）</v>
          </cell>
          <cell r="P8">
            <v>500</v>
          </cell>
          <cell r="R8">
            <v>39881</v>
          </cell>
          <cell r="S8">
            <v>39898</v>
          </cell>
          <cell r="T8">
            <v>40005</v>
          </cell>
          <cell r="U8" t="str">
            <v>2008/11/4企画中止</v>
          </cell>
        </row>
        <row r="9">
          <cell r="H9">
            <v>72</v>
          </cell>
          <cell r="K9">
            <v>39902</v>
          </cell>
          <cell r="L9">
            <v>39928</v>
          </cell>
          <cell r="M9">
            <v>39932</v>
          </cell>
          <cell r="N9">
            <v>27</v>
          </cell>
          <cell r="O9" t="str">
            <v>新枠（＋１）</v>
          </cell>
          <cell r="P9">
            <v>500</v>
          </cell>
          <cell r="Q9">
            <v>199</v>
          </cell>
          <cell r="R9">
            <v>39867</v>
          </cell>
          <cell r="S9">
            <v>39884</v>
          </cell>
          <cell r="T9">
            <v>39963</v>
          </cell>
          <cell r="U9" t="str">
            <v>2008/11/4展開期間：4/20-6/13→3/30-5/23（3週間繰り上げ）、　　　　　　　　　　　媒体名称：「09週宅858（5-3）72」→「09週宅903（4-5）72」　　　　　　　　　　　　　　2008/11/6終了日2009/5/23→2009/4/25</v>
          </cell>
        </row>
        <row r="10">
          <cell r="H10">
            <v>73</v>
          </cell>
          <cell r="K10">
            <v>39930</v>
          </cell>
          <cell r="L10">
            <v>39984</v>
          </cell>
          <cell r="M10">
            <v>39988</v>
          </cell>
          <cell r="N10">
            <v>55</v>
          </cell>
          <cell r="O10" t="str">
            <v>新枠（＋１）</v>
          </cell>
          <cell r="P10">
            <v>500</v>
          </cell>
          <cell r="R10">
            <v>39895</v>
          </cell>
          <cell r="S10">
            <v>39912</v>
          </cell>
          <cell r="T10">
            <v>40019</v>
          </cell>
          <cell r="U10" t="str">
            <v>2008/11/4企画中止</v>
          </cell>
        </row>
        <row r="11">
          <cell r="H11">
            <v>74</v>
          </cell>
          <cell r="K11">
            <v>39937</v>
          </cell>
          <cell r="L11">
            <v>39991</v>
          </cell>
          <cell r="M11">
            <v>39995</v>
          </cell>
          <cell r="N11">
            <v>55</v>
          </cell>
          <cell r="O11" t="str">
            <v>新枠（＋１）</v>
          </cell>
          <cell r="P11">
            <v>500</v>
          </cell>
          <cell r="R11">
            <v>39902</v>
          </cell>
          <cell r="S11">
            <v>39919</v>
          </cell>
          <cell r="T11">
            <v>40026</v>
          </cell>
          <cell r="U11" t="str">
            <v>2008/11/4企画中止</v>
          </cell>
        </row>
        <row r="12">
          <cell r="H12">
            <v>75</v>
          </cell>
          <cell r="K12">
            <v>39944</v>
          </cell>
          <cell r="L12">
            <v>39998</v>
          </cell>
          <cell r="M12">
            <v>40002</v>
          </cell>
          <cell r="N12">
            <v>55</v>
          </cell>
          <cell r="O12" t="str">
            <v>新枠（＋１）</v>
          </cell>
          <cell r="P12">
            <v>500</v>
          </cell>
          <cell r="R12">
            <v>39909</v>
          </cell>
          <cell r="S12">
            <v>39926</v>
          </cell>
          <cell r="T12">
            <v>40033</v>
          </cell>
          <cell r="U12" t="str">
            <v>2008/11/4企画中止</v>
          </cell>
        </row>
        <row r="13">
          <cell r="H13">
            <v>76</v>
          </cell>
          <cell r="K13">
            <v>39951</v>
          </cell>
          <cell r="L13">
            <v>40005</v>
          </cell>
          <cell r="M13">
            <v>40009</v>
          </cell>
          <cell r="N13">
            <v>55</v>
          </cell>
          <cell r="O13" t="str">
            <v>新枠（＋１）</v>
          </cell>
          <cell r="P13">
            <v>500</v>
          </cell>
          <cell r="R13">
            <v>39916</v>
          </cell>
          <cell r="S13">
            <v>39933</v>
          </cell>
          <cell r="T13">
            <v>40040</v>
          </cell>
          <cell r="U13" t="str">
            <v>2008/11/4企画中止</v>
          </cell>
        </row>
        <row r="14">
          <cell r="H14">
            <v>77</v>
          </cell>
          <cell r="K14">
            <v>39958</v>
          </cell>
          <cell r="L14">
            <v>40012</v>
          </cell>
          <cell r="M14">
            <v>40016</v>
          </cell>
          <cell r="N14">
            <v>55</v>
          </cell>
          <cell r="O14" t="str">
            <v>新枠（＋１）</v>
          </cell>
          <cell r="P14">
            <v>500</v>
          </cell>
          <cell r="R14">
            <v>39923</v>
          </cell>
          <cell r="S14">
            <v>39940</v>
          </cell>
          <cell r="T14">
            <v>40047</v>
          </cell>
          <cell r="U14" t="str">
            <v>2008/11/4企画中止</v>
          </cell>
        </row>
        <row r="15">
          <cell r="H15">
            <v>78</v>
          </cell>
          <cell r="K15">
            <v>39965</v>
          </cell>
          <cell r="L15">
            <v>40019</v>
          </cell>
          <cell r="M15">
            <v>40023</v>
          </cell>
          <cell r="N15">
            <v>55</v>
          </cell>
          <cell r="O15" t="str">
            <v>新枠（＋１）</v>
          </cell>
          <cell r="P15">
            <v>500</v>
          </cell>
          <cell r="R15">
            <v>39930</v>
          </cell>
          <cell r="S15">
            <v>39947</v>
          </cell>
          <cell r="T15">
            <v>40054</v>
          </cell>
          <cell r="U15" t="str">
            <v>2008/11/4企画中止</v>
          </cell>
        </row>
        <row r="16">
          <cell r="H16">
            <v>79</v>
          </cell>
          <cell r="K16">
            <v>39972</v>
          </cell>
          <cell r="L16">
            <v>40026</v>
          </cell>
          <cell r="M16">
            <v>40030</v>
          </cell>
          <cell r="N16">
            <v>55</v>
          </cell>
          <cell r="O16" t="str">
            <v>新枠（＋１）</v>
          </cell>
          <cell r="P16">
            <v>500</v>
          </cell>
          <cell r="R16">
            <v>39937</v>
          </cell>
          <cell r="S16">
            <v>39954</v>
          </cell>
          <cell r="T16">
            <v>40061</v>
          </cell>
          <cell r="U16" t="str">
            <v>2008/11/4企画中止</v>
          </cell>
        </row>
        <row r="17">
          <cell r="H17">
            <v>80</v>
          </cell>
          <cell r="K17">
            <v>39979</v>
          </cell>
          <cell r="L17">
            <v>40033</v>
          </cell>
          <cell r="M17">
            <v>40037</v>
          </cell>
          <cell r="N17">
            <v>55</v>
          </cell>
          <cell r="O17" t="str">
            <v>新枠（＋１）</v>
          </cell>
          <cell r="P17">
            <v>500</v>
          </cell>
          <cell r="R17">
            <v>39944</v>
          </cell>
          <cell r="S17">
            <v>39961</v>
          </cell>
          <cell r="T17">
            <v>40068</v>
          </cell>
          <cell r="U17" t="str">
            <v>2008/11/4企画中止</v>
          </cell>
        </row>
        <row r="18">
          <cell r="H18">
            <v>81</v>
          </cell>
          <cell r="K18">
            <v>39986</v>
          </cell>
          <cell r="L18">
            <v>40040</v>
          </cell>
          <cell r="M18">
            <v>40044</v>
          </cell>
          <cell r="N18">
            <v>55</v>
          </cell>
          <cell r="O18" t="str">
            <v>新枠（＋１）</v>
          </cell>
          <cell r="P18">
            <v>500</v>
          </cell>
          <cell r="R18">
            <v>39951</v>
          </cell>
          <cell r="S18">
            <v>39968</v>
          </cell>
          <cell r="T18">
            <v>40075</v>
          </cell>
          <cell r="U18" t="str">
            <v>2008/11/4企画中止</v>
          </cell>
        </row>
        <row r="19">
          <cell r="H19">
            <v>82</v>
          </cell>
          <cell r="K19">
            <v>39993</v>
          </cell>
          <cell r="L19">
            <v>40047</v>
          </cell>
          <cell r="M19">
            <v>40051</v>
          </cell>
          <cell r="N19">
            <v>55</v>
          </cell>
          <cell r="O19" t="str">
            <v>新枠（＋１）</v>
          </cell>
          <cell r="P19">
            <v>500</v>
          </cell>
          <cell r="R19">
            <v>39958</v>
          </cell>
          <cell r="S19">
            <v>39975</v>
          </cell>
          <cell r="T19">
            <v>40082</v>
          </cell>
          <cell r="U19" t="str">
            <v>2008/11/4企画中止</v>
          </cell>
        </row>
        <row r="20">
          <cell r="H20">
            <v>83</v>
          </cell>
          <cell r="K20">
            <v>40000</v>
          </cell>
          <cell r="L20">
            <v>40054</v>
          </cell>
          <cell r="M20">
            <v>40058</v>
          </cell>
          <cell r="N20">
            <v>55</v>
          </cell>
          <cell r="O20" t="str">
            <v>新枠（＋１）</v>
          </cell>
          <cell r="P20">
            <v>500</v>
          </cell>
          <cell r="R20">
            <v>39965</v>
          </cell>
          <cell r="S20">
            <v>39982</v>
          </cell>
          <cell r="T20">
            <v>40089</v>
          </cell>
          <cell r="U20" t="str">
            <v>2008/11/4企画中止</v>
          </cell>
        </row>
        <row r="21">
          <cell r="H21">
            <v>84</v>
          </cell>
          <cell r="K21">
            <v>40007</v>
          </cell>
          <cell r="L21">
            <v>40061</v>
          </cell>
          <cell r="M21">
            <v>40065</v>
          </cell>
          <cell r="N21">
            <v>55</v>
          </cell>
          <cell r="O21" t="str">
            <v>新枠（＋１）</v>
          </cell>
          <cell r="P21">
            <v>500</v>
          </cell>
          <cell r="R21">
            <v>39972</v>
          </cell>
          <cell r="S21">
            <v>39989</v>
          </cell>
          <cell r="T21">
            <v>40096</v>
          </cell>
          <cell r="U21" t="str">
            <v>2008/11/4企画中止</v>
          </cell>
        </row>
        <row r="22">
          <cell r="H22">
            <v>85</v>
          </cell>
          <cell r="K22">
            <v>40014</v>
          </cell>
          <cell r="L22">
            <v>40068</v>
          </cell>
          <cell r="M22">
            <v>40072</v>
          </cell>
          <cell r="N22">
            <v>55</v>
          </cell>
          <cell r="O22" t="str">
            <v>新枠（＋１）</v>
          </cell>
          <cell r="P22">
            <v>500</v>
          </cell>
          <cell r="R22">
            <v>39979</v>
          </cell>
          <cell r="S22">
            <v>39996</v>
          </cell>
          <cell r="T22">
            <v>40103</v>
          </cell>
          <cell r="U22" t="str">
            <v>2008/11/4企画中止</v>
          </cell>
        </row>
        <row r="23">
          <cell r="H23">
            <v>86</v>
          </cell>
          <cell r="K23">
            <v>40021</v>
          </cell>
          <cell r="L23">
            <v>40075</v>
          </cell>
          <cell r="M23">
            <v>40079</v>
          </cell>
          <cell r="N23">
            <v>55</v>
          </cell>
          <cell r="O23" t="str">
            <v>新枠（＋１）</v>
          </cell>
          <cell r="P23">
            <v>500</v>
          </cell>
          <cell r="R23">
            <v>39986</v>
          </cell>
          <cell r="S23">
            <v>40003</v>
          </cell>
          <cell r="T23">
            <v>40110</v>
          </cell>
          <cell r="U23" t="str">
            <v>2008/11/4企画中止</v>
          </cell>
        </row>
        <row r="24">
          <cell r="H24">
            <v>87</v>
          </cell>
          <cell r="K24">
            <v>39874</v>
          </cell>
          <cell r="L24">
            <v>40082</v>
          </cell>
          <cell r="M24">
            <v>40086</v>
          </cell>
          <cell r="N24">
            <v>209</v>
          </cell>
          <cell r="O24" t="str">
            <v>新枠（＋１）</v>
          </cell>
          <cell r="P24">
            <v>100</v>
          </cell>
          <cell r="R24">
            <v>39839</v>
          </cell>
          <cell r="S24">
            <v>39856</v>
          </cell>
          <cell r="T24">
            <v>40117</v>
          </cell>
          <cell r="U24" t="str">
            <v>2008/10/16登録</v>
          </cell>
        </row>
        <row r="25">
          <cell r="H25">
            <v>184</v>
          </cell>
          <cell r="K25">
            <v>40077</v>
          </cell>
          <cell r="L25">
            <v>40131</v>
          </cell>
          <cell r="M25">
            <v>40135</v>
          </cell>
          <cell r="N25">
            <v>55</v>
          </cell>
          <cell r="O25" t="str">
            <v>+8</v>
          </cell>
          <cell r="P25">
            <v>100</v>
          </cell>
          <cell r="R25">
            <v>40042</v>
          </cell>
          <cell r="S25">
            <v>40059</v>
          </cell>
          <cell r="T25">
            <v>40166</v>
          </cell>
          <cell r="U25" t="str">
            <v>2009/1/16登録 2009/9/9企画中止</v>
          </cell>
        </row>
        <row r="26">
          <cell r="H26">
            <v>185</v>
          </cell>
          <cell r="K26">
            <v>40077</v>
          </cell>
          <cell r="L26">
            <v>40138</v>
          </cell>
          <cell r="M26">
            <v>40142</v>
          </cell>
          <cell r="N26">
            <v>62</v>
          </cell>
          <cell r="O26" t="str">
            <v>+8</v>
          </cell>
          <cell r="P26">
            <v>100</v>
          </cell>
          <cell r="R26">
            <v>40042</v>
          </cell>
          <cell r="S26">
            <v>40059</v>
          </cell>
          <cell r="T26">
            <v>40173</v>
          </cell>
          <cell r="U26" t="str">
            <v>2009/1/16登録　2009/9/9　展開終了日2009/11/14→2009/11/21</v>
          </cell>
        </row>
        <row r="27">
          <cell r="H27">
            <v>186</v>
          </cell>
          <cell r="K27">
            <v>40077</v>
          </cell>
          <cell r="L27">
            <v>40138</v>
          </cell>
          <cell r="M27">
            <v>40142</v>
          </cell>
          <cell r="N27">
            <v>62</v>
          </cell>
          <cell r="O27" t="str">
            <v>+8</v>
          </cell>
          <cell r="P27">
            <v>100</v>
          </cell>
          <cell r="R27">
            <v>40042</v>
          </cell>
          <cell r="S27">
            <v>40059</v>
          </cell>
          <cell r="T27">
            <v>40173</v>
          </cell>
          <cell r="U27" t="str">
            <v>2009/1/16登録　2009/9/9　展開終了日2009/11/14→2009/11/21</v>
          </cell>
        </row>
      </sheetData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見開き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華・素敵MAXD1"/>
      <sheetName val="華・素敵売上粗利1"/>
      <sheetName val="撮影水着発送"/>
      <sheetName val="MAXデータ抽出書き込み"/>
      <sheetName val="01FW華・素敵"/>
      <sheetName val="取引先 ｺｰﾄﾞ"/>
      <sheetName val="縫製工場 ｺｰﾄﾞ"/>
      <sheetName val="商品形態"/>
      <sheetName val="セラヴィ1max"/>
      <sheetName val="水着"/>
      <sheetName val="水着一覧 (2)"/>
      <sheetName val="水着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</row>
        <row r="2">
          <cell r="A2" t="str">
            <v>正式品番</v>
          </cell>
          <cell r="B2" t="str">
            <v>カタログＩＤ</v>
          </cell>
          <cell r="C2" t="str">
            <v>カタログ名</v>
          </cell>
          <cell r="D2" t="str">
            <v>ｺｰﾄﾞ</v>
          </cell>
          <cell r="E2" t="str">
            <v>販売形態2</v>
          </cell>
          <cell r="F2" t="str">
            <v>ﾃｰﾏ
ｺｰﾄﾞ</v>
          </cell>
          <cell r="G2" t="str">
            <v>テーマ名</v>
          </cell>
          <cell r="H2" t="str">
            <v>メーカー品番</v>
          </cell>
          <cell r="I2" t="str">
            <v>正式品番</v>
          </cell>
          <cell r="J2" t="str">
            <v>枝番</v>
          </cell>
          <cell r="K2" t="str">
            <v>品名</v>
          </cell>
          <cell r="L2" t="str">
            <v>取引先
コード</v>
          </cell>
          <cell r="M2" t="str">
            <v>取引先</v>
          </cell>
          <cell r="N2" t="str">
            <v>カラー数</v>
          </cell>
          <cell r="O2" t="str">
            <v>ｻｲｽﾞ数</v>
          </cell>
          <cell r="P2" t="str">
            <v>ｺｰﾄﾞ</v>
          </cell>
          <cell r="Q2" t="str">
            <v>縫製
生産国</v>
          </cell>
          <cell r="R2" t="str">
            <v>ｺｰﾄﾞ</v>
          </cell>
          <cell r="S2" t="str">
            <v>縫製工場</v>
          </cell>
          <cell r="T2" t="str">
            <v>生地登録
ＮＯ（ＣＡ）</v>
          </cell>
          <cell r="U2" t="str">
            <v>ｺｰﾄﾞ</v>
          </cell>
          <cell r="V2" t="str">
            <v>生地
生産国</v>
          </cell>
          <cell r="W2" t="str">
            <v>素材</v>
          </cell>
          <cell r="X2" t="str">
            <v>混率</v>
          </cell>
          <cell r="Y2" t="str">
            <v>初回カタログ価格</v>
          </cell>
          <cell r="Z2" t="str">
            <v>初回仕入価格</v>
          </cell>
          <cell r="AA2" t="str">
            <v>カラー名</v>
          </cell>
          <cell r="AE2" t="str">
            <v>サイズ名</v>
          </cell>
          <cell r="AQ2" t="str">
            <v>備考</v>
          </cell>
        </row>
        <row r="3">
          <cell r="A3" t="str">
            <v>AM-321</v>
          </cell>
          <cell r="B3" t="str">
            <v>402</v>
          </cell>
          <cell r="C3" t="str">
            <v>2001ＦＷセラヴィ</v>
          </cell>
          <cell r="D3" t="str">
            <v>7</v>
          </cell>
          <cell r="E3" t="str">
            <v>一般良安</v>
          </cell>
          <cell r="F3">
            <v>11</v>
          </cell>
          <cell r="G3" t="str">
            <v>水着</v>
          </cell>
          <cell r="I3" t="str">
            <v>AM-321</v>
          </cell>
          <cell r="J3">
            <v>0</v>
          </cell>
          <cell r="K3" t="str">
            <v>スイムショーツシェイプ</v>
          </cell>
          <cell r="L3">
            <v>42</v>
          </cell>
          <cell r="M3" t="str">
            <v>カフラス㈱</v>
          </cell>
          <cell r="R3">
            <v>138</v>
          </cell>
          <cell r="S3" t="str">
            <v>カフラス本社工場</v>
          </cell>
          <cell r="Y3">
            <v>2980</v>
          </cell>
          <cell r="Z3">
            <v>1600</v>
          </cell>
          <cell r="AA3" t="str">
            <v>Aﾀｲﾌﾟ</v>
          </cell>
          <cell r="AB3" t="str">
            <v>Bﾀｲﾌﾟ</v>
          </cell>
          <cell r="AC3" t="str">
            <v>Cﾀｲﾌﾟ</v>
          </cell>
          <cell r="AD3" t="str">
            <v>Dﾀｲﾌﾟ</v>
          </cell>
          <cell r="AE3" t="str">
            <v>S</v>
          </cell>
          <cell r="AF3" t="str">
            <v>M</v>
          </cell>
          <cell r="AG3" t="str">
            <v>L</v>
          </cell>
          <cell r="AH3" t="str">
            <v>LL</v>
          </cell>
          <cell r="AI3" t="str">
            <v>3L</v>
          </cell>
        </row>
        <row r="4">
          <cell r="A4" t="str">
            <v>AM-331</v>
          </cell>
          <cell r="B4" t="str">
            <v>402</v>
          </cell>
          <cell r="C4" t="str">
            <v>2001ＦＷセラヴィ</v>
          </cell>
          <cell r="D4" t="str">
            <v>7</v>
          </cell>
          <cell r="E4" t="str">
            <v>一般良安</v>
          </cell>
          <cell r="F4">
            <v>11</v>
          </cell>
          <cell r="G4" t="str">
            <v>水着</v>
          </cell>
          <cell r="I4" t="str">
            <v>AM-331</v>
          </cell>
          <cell r="J4">
            <v>0</v>
          </cell>
          <cell r="K4" t="str">
            <v>スパッツ</v>
          </cell>
          <cell r="L4">
            <v>42</v>
          </cell>
          <cell r="M4" t="str">
            <v>カフラス㈱</v>
          </cell>
          <cell r="N4">
            <v>1</v>
          </cell>
          <cell r="R4">
            <v>138</v>
          </cell>
          <cell r="S4" t="str">
            <v>カフラス本社工場</v>
          </cell>
          <cell r="Y4">
            <v>1980</v>
          </cell>
          <cell r="Z4">
            <v>1050</v>
          </cell>
          <cell r="AA4" t="str">
            <v>ﾌﾞﾗｯｸ</v>
          </cell>
          <cell r="AE4" t="str">
            <v>M-10</v>
          </cell>
          <cell r="AF4" t="str">
            <v>M-15</v>
          </cell>
          <cell r="AG4" t="str">
            <v>M-20</v>
          </cell>
          <cell r="AH4" t="str">
            <v>L-10</v>
          </cell>
          <cell r="AI4" t="str">
            <v>L-15</v>
          </cell>
          <cell r="AJ4" t="str">
            <v>L-20</v>
          </cell>
          <cell r="AK4" t="str">
            <v>LL-10</v>
          </cell>
          <cell r="AL4" t="str">
            <v>LL-15</v>
          </cell>
          <cell r="AM4" t="str">
            <v>LL-20</v>
          </cell>
          <cell r="AN4" t="str">
            <v>3L-10</v>
          </cell>
          <cell r="AO4" t="str">
            <v>3L-15</v>
          </cell>
          <cell r="AP4" t="str">
            <v>3L-20</v>
          </cell>
        </row>
        <row r="5">
          <cell r="A5" t="str">
            <v>AM-353</v>
          </cell>
          <cell r="B5" t="str">
            <v>402</v>
          </cell>
          <cell r="C5" t="str">
            <v>2001ＦＷセラヴィ</v>
          </cell>
          <cell r="D5" t="str">
            <v>7</v>
          </cell>
          <cell r="E5" t="str">
            <v>一般良安</v>
          </cell>
          <cell r="F5">
            <v>11</v>
          </cell>
          <cell r="G5" t="str">
            <v>水着</v>
          </cell>
          <cell r="I5" t="str">
            <v>AM-353</v>
          </cell>
          <cell r="J5">
            <v>0</v>
          </cell>
          <cell r="K5" t="str">
            <v>スイムキャップ</v>
          </cell>
          <cell r="L5">
            <v>747</v>
          </cell>
          <cell r="M5" t="str">
            <v>丸紅㈱　岡山支店</v>
          </cell>
          <cell r="N5">
            <v>3</v>
          </cell>
          <cell r="R5">
            <v>9863</v>
          </cell>
          <cell r="S5" t="str">
            <v>上海鈴邦国際有限公司</v>
          </cell>
          <cell r="Y5">
            <v>1980</v>
          </cell>
          <cell r="Z5">
            <v>1000</v>
          </cell>
          <cell r="AA5" t="str">
            <v>ﾎﾜｲﾄ</v>
          </cell>
          <cell r="AB5" t="str">
            <v>ﾌﾞﾗｯｸ</v>
          </cell>
          <cell r="AC5" t="str">
            <v>ﾌﾞﾙｰ</v>
          </cell>
          <cell r="AE5" t="str">
            <v>ﾌﾘｰ</v>
          </cell>
        </row>
        <row r="6">
          <cell r="A6" t="str">
            <v>AM-354</v>
          </cell>
          <cell r="B6" t="str">
            <v>402</v>
          </cell>
          <cell r="C6" t="str">
            <v>2001ＦＷセラヴィ</v>
          </cell>
          <cell r="D6" t="str">
            <v>7</v>
          </cell>
          <cell r="E6" t="str">
            <v>一般良安</v>
          </cell>
          <cell r="F6">
            <v>11</v>
          </cell>
          <cell r="G6" t="str">
            <v>水着</v>
          </cell>
          <cell r="I6" t="str">
            <v>AM-354</v>
          </cell>
          <cell r="J6">
            <v>0</v>
          </cell>
          <cell r="K6" t="str">
            <v>ゴーグル</v>
          </cell>
          <cell r="L6">
            <v>747</v>
          </cell>
          <cell r="M6" t="str">
            <v>丸紅㈱　岡山支店</v>
          </cell>
          <cell r="N6">
            <v>3</v>
          </cell>
          <cell r="R6">
            <v>6689</v>
          </cell>
          <cell r="S6" t="str">
            <v>㈱タバタ</v>
          </cell>
          <cell r="Y6">
            <v>2980</v>
          </cell>
          <cell r="Z6">
            <v>1500</v>
          </cell>
          <cell r="AA6" t="str">
            <v>ﾋﾟﾝｸ</v>
          </cell>
          <cell r="AB6" t="str">
            <v>ﾌﾞﾗｯｸ</v>
          </cell>
          <cell r="AC6" t="str">
            <v>ﾗﾍﾞﾝﾀﾞｰﾌﾞﾙｰ</v>
          </cell>
          <cell r="AE6" t="str">
            <v>ﾌﾘｰ</v>
          </cell>
        </row>
        <row r="7">
          <cell r="A7" t="str">
            <v>AM-388</v>
          </cell>
          <cell r="B7" t="str">
            <v>402</v>
          </cell>
          <cell r="C7" t="str">
            <v>2001ＦＷセラヴィ</v>
          </cell>
          <cell r="D7" t="str">
            <v>9</v>
          </cell>
          <cell r="E7" t="str">
            <v>衝撃良安</v>
          </cell>
          <cell r="F7">
            <v>11</v>
          </cell>
          <cell r="G7" t="str">
            <v>水着</v>
          </cell>
          <cell r="I7" t="str">
            <v>AM-388</v>
          </cell>
          <cell r="J7">
            <v>0</v>
          </cell>
          <cell r="K7" t="str">
            <v>ワンピース　シェイプ</v>
          </cell>
          <cell r="L7">
            <v>1502</v>
          </cell>
          <cell r="M7" t="str">
            <v>東レ㈱</v>
          </cell>
          <cell r="N7">
            <v>3</v>
          </cell>
          <cell r="R7">
            <v>572</v>
          </cell>
          <cell r="S7" t="str">
            <v>北都ワールド㈱</v>
          </cell>
          <cell r="Y7">
            <v>1980</v>
          </cell>
          <cell r="Z7">
            <v>1050</v>
          </cell>
          <cell r="AA7" t="str">
            <v>ﾈｲﾋﾞｰﾌﾞﾙｰ</v>
          </cell>
          <cell r="AB7" t="str">
            <v>ﾌﾞﾗｯｸ</v>
          </cell>
          <cell r="AC7" t="str">
            <v>ｿﾌﾄﾊﾟｰﾌﾟﾙ</v>
          </cell>
          <cell r="AE7" t="str">
            <v>S</v>
          </cell>
          <cell r="AF7" t="str">
            <v>M</v>
          </cell>
          <cell r="AG7" t="str">
            <v>L</v>
          </cell>
          <cell r="AH7" t="str">
            <v>LL</v>
          </cell>
          <cell r="AI7" t="str">
            <v>3L</v>
          </cell>
          <cell r="AJ7" t="str">
            <v>LT</v>
          </cell>
        </row>
        <row r="8">
          <cell r="A8" t="str">
            <v>AM-389</v>
          </cell>
          <cell r="B8" t="str">
            <v>402</v>
          </cell>
          <cell r="C8" t="str">
            <v>2001ＦＷセラヴィ</v>
          </cell>
          <cell r="D8" t="str">
            <v>9</v>
          </cell>
          <cell r="E8" t="str">
            <v>衝撃良安</v>
          </cell>
          <cell r="F8">
            <v>11</v>
          </cell>
          <cell r="G8" t="str">
            <v>水着</v>
          </cell>
          <cell r="I8" t="str">
            <v>AM-389</v>
          </cell>
          <cell r="J8">
            <v>0</v>
          </cell>
          <cell r="K8" t="str">
            <v>ワンピース　シェイプ</v>
          </cell>
          <cell r="L8">
            <v>1502</v>
          </cell>
          <cell r="M8" t="str">
            <v>東レ㈱</v>
          </cell>
          <cell r="N8">
            <v>1</v>
          </cell>
          <cell r="R8">
            <v>572</v>
          </cell>
          <cell r="S8" t="str">
            <v>北都ワールド㈱</v>
          </cell>
          <cell r="Y8">
            <v>2980</v>
          </cell>
          <cell r="Z8">
            <v>1500</v>
          </cell>
          <cell r="AA8" t="str">
            <v>ﾌﾞﾗｯｸ</v>
          </cell>
          <cell r="AE8" t="str">
            <v>S</v>
          </cell>
          <cell r="AF8" t="str">
            <v>M</v>
          </cell>
          <cell r="AG8" t="str">
            <v>L</v>
          </cell>
          <cell r="AH8" t="str">
            <v>LL</v>
          </cell>
          <cell r="AI8" t="str">
            <v>3L</v>
          </cell>
          <cell r="AJ8" t="str">
            <v>LT</v>
          </cell>
        </row>
        <row r="9">
          <cell r="A9" t="str">
            <v>AM-420</v>
          </cell>
          <cell r="B9" t="str">
            <v>402</v>
          </cell>
          <cell r="C9" t="str">
            <v>2001ＦＷセラヴィ</v>
          </cell>
          <cell r="D9" t="str">
            <v>7</v>
          </cell>
          <cell r="E9" t="str">
            <v>一般良安</v>
          </cell>
          <cell r="F9">
            <v>11</v>
          </cell>
          <cell r="G9" t="str">
            <v>水着</v>
          </cell>
          <cell r="I9" t="str">
            <v>AM-420</v>
          </cell>
          <cell r="J9">
            <v>0</v>
          </cell>
          <cell r="K9" t="str">
            <v>ゴーグル</v>
          </cell>
          <cell r="L9">
            <v>747</v>
          </cell>
          <cell r="M9" t="str">
            <v>丸紅㈱　岡山支店</v>
          </cell>
          <cell r="N9">
            <v>3</v>
          </cell>
          <cell r="R9">
            <v>6689</v>
          </cell>
          <cell r="S9" t="str">
            <v>㈱タバタ</v>
          </cell>
          <cell r="Y9">
            <v>5900</v>
          </cell>
          <cell r="Z9">
            <v>3000</v>
          </cell>
          <cell r="AA9" t="str">
            <v>ﾌｧｯｼｮﾝｸﾞﾚｰ</v>
          </cell>
          <cell r="AB9" t="str">
            <v>ｱｲｽﾌﾞﾙｰ</v>
          </cell>
          <cell r="AC9" t="str">
            <v>ｱｲｽｸﾞﾘｰﾝ</v>
          </cell>
          <cell r="AE9" t="str">
            <v>ﾌﾘｰ</v>
          </cell>
        </row>
        <row r="10">
          <cell r="A10" t="str">
            <v>AM-441</v>
          </cell>
          <cell r="B10" t="str">
            <v>402</v>
          </cell>
          <cell r="C10" t="str">
            <v>2001ＦＷセラヴィ</v>
          </cell>
          <cell r="D10" t="str">
            <v>9</v>
          </cell>
          <cell r="E10" t="str">
            <v>衝撃良安</v>
          </cell>
          <cell r="F10">
            <v>11</v>
          </cell>
          <cell r="G10" t="str">
            <v>水着</v>
          </cell>
          <cell r="I10" t="str">
            <v>AM-441</v>
          </cell>
          <cell r="J10">
            <v>0</v>
          </cell>
          <cell r="K10" t="str">
            <v>ワンピースシェイプ</v>
          </cell>
          <cell r="L10">
            <v>1502</v>
          </cell>
          <cell r="M10" t="str">
            <v>東レ㈱</v>
          </cell>
          <cell r="N10">
            <v>1</v>
          </cell>
          <cell r="R10">
            <v>572</v>
          </cell>
          <cell r="S10" t="str">
            <v>北都ワールド㈱</v>
          </cell>
          <cell r="Y10">
            <v>4900</v>
          </cell>
          <cell r="Z10">
            <v>2600</v>
          </cell>
          <cell r="AA10" t="str">
            <v>ﾈｲﾋﾞｰﾌﾞﾙｰ</v>
          </cell>
          <cell r="AE10" t="str">
            <v>S</v>
          </cell>
          <cell r="AF10" t="str">
            <v>M</v>
          </cell>
          <cell r="AG10" t="str">
            <v>L</v>
          </cell>
          <cell r="AH10" t="str">
            <v>LL</v>
          </cell>
          <cell r="AI10" t="str">
            <v>3L</v>
          </cell>
          <cell r="AJ10" t="str">
            <v>LT</v>
          </cell>
        </row>
        <row r="11">
          <cell r="A11" t="str">
            <v>AM-442</v>
          </cell>
          <cell r="B11" t="str">
            <v>402</v>
          </cell>
          <cell r="C11" t="str">
            <v>2001ＦＷセラヴィ</v>
          </cell>
          <cell r="D11" t="str">
            <v>9</v>
          </cell>
          <cell r="E11" t="str">
            <v>衝撃良安</v>
          </cell>
          <cell r="F11">
            <v>11</v>
          </cell>
          <cell r="G11" t="str">
            <v>水着</v>
          </cell>
          <cell r="I11" t="str">
            <v>AM-442</v>
          </cell>
          <cell r="J11">
            <v>0</v>
          </cell>
          <cell r="K11" t="str">
            <v>ワンピースシェイプ</v>
          </cell>
          <cell r="L11">
            <v>1502</v>
          </cell>
          <cell r="M11" t="str">
            <v>東レ㈱</v>
          </cell>
          <cell r="N11">
            <v>1</v>
          </cell>
          <cell r="R11">
            <v>572</v>
          </cell>
          <cell r="S11" t="str">
            <v>北都ワールド㈱</v>
          </cell>
          <cell r="Y11">
            <v>4900</v>
          </cell>
          <cell r="Z11">
            <v>2450</v>
          </cell>
          <cell r="AA11" t="str">
            <v>ﾌﾞﾗｯｸ</v>
          </cell>
          <cell r="AE11" t="str">
            <v>S</v>
          </cell>
          <cell r="AF11" t="str">
            <v>M</v>
          </cell>
          <cell r="AG11" t="str">
            <v>L</v>
          </cell>
          <cell r="AH11" t="str">
            <v>LL</v>
          </cell>
          <cell r="AI11" t="str">
            <v>3L</v>
          </cell>
          <cell r="AJ11" t="str">
            <v>LT</v>
          </cell>
        </row>
        <row r="12">
          <cell r="A12" t="str">
            <v>AM-443</v>
          </cell>
          <cell r="B12" t="str">
            <v>402</v>
          </cell>
          <cell r="C12" t="str">
            <v>2001ＦＷセラヴィ</v>
          </cell>
          <cell r="D12" t="str">
            <v>7</v>
          </cell>
          <cell r="E12" t="str">
            <v>一般良安</v>
          </cell>
          <cell r="F12">
            <v>11</v>
          </cell>
          <cell r="G12" t="str">
            <v>水着</v>
          </cell>
          <cell r="I12" t="str">
            <v>AM-443</v>
          </cell>
          <cell r="J12">
            <v>0</v>
          </cell>
          <cell r="K12" t="str">
            <v>ワンピースシェイプ</v>
          </cell>
          <cell r="L12">
            <v>1502</v>
          </cell>
          <cell r="M12" t="str">
            <v>東レ㈱</v>
          </cell>
          <cell r="N12">
            <v>1</v>
          </cell>
          <cell r="R12">
            <v>572</v>
          </cell>
          <cell r="S12" t="str">
            <v>北都ワールド㈱</v>
          </cell>
          <cell r="Y12">
            <v>4900</v>
          </cell>
          <cell r="Z12">
            <v>2500</v>
          </cell>
          <cell r="AA12" t="str">
            <v>ﾌﾞﾗｯｸ</v>
          </cell>
          <cell r="AE12" t="str">
            <v>S</v>
          </cell>
          <cell r="AF12" t="str">
            <v>M</v>
          </cell>
          <cell r="AG12" t="str">
            <v>L</v>
          </cell>
          <cell r="AH12" t="str">
            <v>LL</v>
          </cell>
          <cell r="AI12" t="str">
            <v>3L</v>
          </cell>
          <cell r="AJ12" t="str">
            <v>LT</v>
          </cell>
        </row>
        <row r="13">
          <cell r="A13" t="str">
            <v>AM-444</v>
          </cell>
          <cell r="B13" t="str">
            <v>402</v>
          </cell>
          <cell r="C13" t="str">
            <v>2001ＦＷセラヴィ</v>
          </cell>
          <cell r="D13" t="str">
            <v>7</v>
          </cell>
          <cell r="E13" t="str">
            <v>一般良安</v>
          </cell>
          <cell r="F13">
            <v>11</v>
          </cell>
          <cell r="G13" t="str">
            <v>水着</v>
          </cell>
          <cell r="I13" t="str">
            <v>AM-444</v>
          </cell>
          <cell r="J13">
            <v>0</v>
          </cell>
          <cell r="K13" t="str">
            <v>袖付きワンピース</v>
          </cell>
          <cell r="L13">
            <v>1502</v>
          </cell>
          <cell r="M13" t="str">
            <v>東レ㈱</v>
          </cell>
          <cell r="N13">
            <v>1</v>
          </cell>
          <cell r="R13">
            <v>572</v>
          </cell>
          <cell r="S13" t="str">
            <v>北都ワールド㈱</v>
          </cell>
          <cell r="Y13">
            <v>4900</v>
          </cell>
          <cell r="Z13">
            <v>2450</v>
          </cell>
          <cell r="AA13" t="str">
            <v>ﾈｲﾋﾞｰﾌﾞﾙｰ</v>
          </cell>
          <cell r="AE13" t="str">
            <v>S</v>
          </cell>
          <cell r="AF13" t="str">
            <v>M</v>
          </cell>
          <cell r="AG13" t="str">
            <v>L</v>
          </cell>
          <cell r="AH13" t="str">
            <v>LL</v>
          </cell>
          <cell r="AI13" t="str">
            <v>3L</v>
          </cell>
          <cell r="AJ13" t="str">
            <v>LT</v>
          </cell>
        </row>
        <row r="14">
          <cell r="A14" t="str">
            <v>AM-445</v>
          </cell>
          <cell r="B14" t="str">
            <v>402</v>
          </cell>
          <cell r="C14" t="str">
            <v>2001ＦＷセラヴィ</v>
          </cell>
          <cell r="D14" t="str">
            <v>7</v>
          </cell>
          <cell r="E14" t="str">
            <v>一般良安</v>
          </cell>
          <cell r="F14">
            <v>11</v>
          </cell>
          <cell r="G14" t="str">
            <v>水着</v>
          </cell>
          <cell r="I14" t="str">
            <v>AM-445</v>
          </cell>
          <cell r="J14">
            <v>0</v>
          </cell>
          <cell r="K14" t="str">
            <v>セパレーツ</v>
          </cell>
          <cell r="L14">
            <v>1502</v>
          </cell>
          <cell r="M14" t="str">
            <v>東レ㈱</v>
          </cell>
          <cell r="N14">
            <v>1</v>
          </cell>
          <cell r="R14">
            <v>572</v>
          </cell>
          <cell r="S14" t="str">
            <v>北都ワールド㈱</v>
          </cell>
          <cell r="Y14">
            <v>3980</v>
          </cell>
          <cell r="Z14">
            <v>2000</v>
          </cell>
          <cell r="AA14" t="str">
            <v>ﾈｲﾋﾞｰﾌﾞﾙｰ</v>
          </cell>
          <cell r="AE14" t="str">
            <v>S</v>
          </cell>
          <cell r="AF14" t="str">
            <v>M</v>
          </cell>
          <cell r="AG14" t="str">
            <v>L</v>
          </cell>
          <cell r="AH14" t="str">
            <v>LL</v>
          </cell>
          <cell r="AI14" t="str">
            <v>3L</v>
          </cell>
          <cell r="AJ14" t="str">
            <v>LT</v>
          </cell>
        </row>
        <row r="15">
          <cell r="A15" t="str">
            <v>AM-446</v>
          </cell>
          <cell r="B15" t="str">
            <v>402</v>
          </cell>
          <cell r="C15" t="str">
            <v>2001ＦＷセラヴィ</v>
          </cell>
          <cell r="D15" t="str">
            <v>7</v>
          </cell>
          <cell r="E15" t="str">
            <v>一般良安</v>
          </cell>
          <cell r="F15">
            <v>11</v>
          </cell>
          <cell r="G15" t="str">
            <v>水着</v>
          </cell>
          <cell r="I15" t="str">
            <v>AM-446</v>
          </cell>
          <cell r="J15">
            <v>0</v>
          </cell>
          <cell r="K15" t="str">
            <v>オールインワン</v>
          </cell>
          <cell r="L15">
            <v>1502</v>
          </cell>
          <cell r="M15" t="str">
            <v>東レ㈱</v>
          </cell>
          <cell r="N15">
            <v>1</v>
          </cell>
          <cell r="R15">
            <v>572</v>
          </cell>
          <cell r="S15" t="str">
            <v>北都ワールド㈱</v>
          </cell>
          <cell r="Y15">
            <v>3980</v>
          </cell>
          <cell r="Z15">
            <v>2000</v>
          </cell>
          <cell r="AA15" t="str">
            <v>ﾌﾞﾙｰｸﾞﾚｰ</v>
          </cell>
          <cell r="AE15" t="str">
            <v>S</v>
          </cell>
          <cell r="AF15" t="str">
            <v>M</v>
          </cell>
          <cell r="AG15" t="str">
            <v>L</v>
          </cell>
          <cell r="AH15" t="str">
            <v>LL</v>
          </cell>
          <cell r="AI15" t="str">
            <v>3L</v>
          </cell>
          <cell r="AJ15" t="str">
            <v>LT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得意先別_SKU"/>
      <sheetName val="得意先別受注データ"/>
      <sheetName val="担当者別集計表"/>
      <sheetName val="担当者別集計表 (売上)"/>
      <sheetName val="担当者別集計表(下代)"/>
      <sheetName val="品番別_SKU"/>
      <sheetName val="品番別_SKU (縦)"/>
      <sheetName val="品番別_確定・見込明細"/>
      <sheetName val="品番別_SKU (確定・見込別)"/>
      <sheetName val="カラーコード "/>
      <sheetName val="品番_色番"/>
      <sheetName val="PDデータ"/>
      <sheetName val="得意先N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  <cell r="L1" t="str">
            <v>井野</v>
          </cell>
        </row>
      </sheetData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材明細"/>
      <sheetName val="企画管理書"/>
      <sheetName val="仕様書1"/>
      <sheetName val="仕様書2"/>
      <sheetName val="仕様書3-1"/>
      <sheetName val="仕様書3-2"/>
      <sheetName val="加工指図"/>
      <sheetName val="仕上げ"/>
      <sheetName val="参考マーカー・生地規格"/>
    </sheetNames>
    <sheetDataSet>
      <sheetData sheetId="0" refreshError="1"/>
      <sheetData sheetId="1" refreshError="1"/>
      <sheetData sheetId="2" refreshError="1">
        <row r="10">
          <cell r="BX10" t="str">
            <v>裏起毛ハタラク黒タイトスキニー70丈</v>
          </cell>
        </row>
      </sheetData>
      <sheetData sheetId="3" refreshError="1"/>
      <sheetData sheetId="4" refreshError="1"/>
      <sheetData sheetId="5" refreshError="1"/>
      <sheetData sheetId="6" refreshError="1">
        <row r="17">
          <cell r="K17" t="str">
            <v>OW(裏洗い) +柔軟</v>
          </cell>
        </row>
      </sheetData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0F1A-986A-46EE-89F3-1D82C99C41B7}">
  <dimension ref="B1:AC54"/>
  <sheetViews>
    <sheetView tabSelected="1" zoomScaleNormal="100" zoomScaleSheetLayoutView="100" workbookViewId="0">
      <selection activeCell="C24" sqref="C24:R24"/>
    </sheetView>
  </sheetViews>
  <sheetFormatPr defaultRowHeight="14.25"/>
  <cols>
    <col min="1" max="1" width="1.25" style="23" customWidth="1"/>
    <col min="2" max="2" width="9.125" style="23" customWidth="1"/>
    <col min="3" max="3" width="2.25" style="23" customWidth="1"/>
    <col min="4" max="5" width="9.5" style="23" customWidth="1"/>
    <col min="6" max="6" width="0.5" style="23" customWidth="1"/>
    <col min="7" max="7" width="8.625" style="23" customWidth="1"/>
    <col min="8" max="8" width="4.25" style="23" customWidth="1"/>
    <col min="9" max="9" width="4.625" style="23" customWidth="1"/>
    <col min="10" max="10" width="4.25" style="23" customWidth="1"/>
    <col min="11" max="11" width="4.875" style="23" customWidth="1"/>
    <col min="12" max="12" width="3.375" style="23" customWidth="1"/>
    <col min="13" max="13" width="6" style="23" customWidth="1"/>
    <col min="14" max="14" width="3.375" style="23" customWidth="1"/>
    <col min="15" max="15" width="6" style="23" customWidth="1"/>
    <col min="16" max="16" width="4.875" style="23" customWidth="1"/>
    <col min="17" max="17" width="4.75" style="23" customWidth="1"/>
    <col min="18" max="18" width="9" style="23" customWidth="1"/>
    <col min="19" max="19" width="0.875" style="23" customWidth="1"/>
    <col min="20" max="20" width="9.375" style="34" hidden="1" customWidth="1"/>
    <col min="21" max="21" width="4.5" style="34" hidden="1" customWidth="1"/>
    <col min="22" max="22" width="8.625" style="34" hidden="1" customWidth="1"/>
    <col min="23" max="23" width="4.25" style="34" hidden="1" customWidth="1"/>
    <col min="24" max="25" width="8.625" style="34" hidden="1" customWidth="1"/>
    <col min="26" max="26" width="4.125" style="34" hidden="1" customWidth="1"/>
    <col min="27" max="27" width="7.75" style="34" hidden="1" customWidth="1"/>
    <col min="28" max="28" width="8.625" style="34" hidden="1" customWidth="1"/>
    <col min="29" max="29" width="2.75" style="23" hidden="1" customWidth="1"/>
    <col min="30" max="256" width="9" style="23"/>
    <col min="257" max="257" width="1.25" style="23" customWidth="1"/>
    <col min="258" max="258" width="9.125" style="23" customWidth="1"/>
    <col min="259" max="259" width="2.25" style="23" customWidth="1"/>
    <col min="260" max="261" width="9.5" style="23" customWidth="1"/>
    <col min="262" max="262" width="0.5" style="23" customWidth="1"/>
    <col min="263" max="263" width="8.625" style="23" customWidth="1"/>
    <col min="264" max="264" width="4.25" style="23" customWidth="1"/>
    <col min="265" max="265" width="4.625" style="23" customWidth="1"/>
    <col min="266" max="266" width="4.25" style="23" customWidth="1"/>
    <col min="267" max="267" width="4.875" style="23" customWidth="1"/>
    <col min="268" max="268" width="3.375" style="23" customWidth="1"/>
    <col min="269" max="269" width="6" style="23" customWidth="1"/>
    <col min="270" max="270" width="3.375" style="23" customWidth="1"/>
    <col min="271" max="271" width="6" style="23" customWidth="1"/>
    <col min="272" max="272" width="4.875" style="23" customWidth="1"/>
    <col min="273" max="273" width="4.75" style="23" customWidth="1"/>
    <col min="274" max="274" width="9" style="23"/>
    <col min="275" max="275" width="0.875" style="23" customWidth="1"/>
    <col min="276" max="285" width="0" style="23" hidden="1" customWidth="1"/>
    <col min="286" max="512" width="9" style="23"/>
    <col min="513" max="513" width="1.25" style="23" customWidth="1"/>
    <col min="514" max="514" width="9.125" style="23" customWidth="1"/>
    <col min="515" max="515" width="2.25" style="23" customWidth="1"/>
    <col min="516" max="517" width="9.5" style="23" customWidth="1"/>
    <col min="518" max="518" width="0.5" style="23" customWidth="1"/>
    <col min="519" max="519" width="8.625" style="23" customWidth="1"/>
    <col min="520" max="520" width="4.25" style="23" customWidth="1"/>
    <col min="521" max="521" width="4.625" style="23" customWidth="1"/>
    <col min="522" max="522" width="4.25" style="23" customWidth="1"/>
    <col min="523" max="523" width="4.875" style="23" customWidth="1"/>
    <col min="524" max="524" width="3.375" style="23" customWidth="1"/>
    <col min="525" max="525" width="6" style="23" customWidth="1"/>
    <col min="526" max="526" width="3.375" style="23" customWidth="1"/>
    <col min="527" max="527" width="6" style="23" customWidth="1"/>
    <col min="528" max="528" width="4.875" style="23" customWidth="1"/>
    <col min="529" max="529" width="4.75" style="23" customWidth="1"/>
    <col min="530" max="530" width="9" style="23"/>
    <col min="531" max="531" width="0.875" style="23" customWidth="1"/>
    <col min="532" max="541" width="0" style="23" hidden="1" customWidth="1"/>
    <col min="542" max="768" width="9" style="23"/>
    <col min="769" max="769" width="1.25" style="23" customWidth="1"/>
    <col min="770" max="770" width="9.125" style="23" customWidth="1"/>
    <col min="771" max="771" width="2.25" style="23" customWidth="1"/>
    <col min="772" max="773" width="9.5" style="23" customWidth="1"/>
    <col min="774" max="774" width="0.5" style="23" customWidth="1"/>
    <col min="775" max="775" width="8.625" style="23" customWidth="1"/>
    <col min="776" max="776" width="4.25" style="23" customWidth="1"/>
    <col min="777" max="777" width="4.625" style="23" customWidth="1"/>
    <col min="778" max="778" width="4.25" style="23" customWidth="1"/>
    <col min="779" max="779" width="4.875" style="23" customWidth="1"/>
    <col min="780" max="780" width="3.375" style="23" customWidth="1"/>
    <col min="781" max="781" width="6" style="23" customWidth="1"/>
    <col min="782" max="782" width="3.375" style="23" customWidth="1"/>
    <col min="783" max="783" width="6" style="23" customWidth="1"/>
    <col min="784" max="784" width="4.875" style="23" customWidth="1"/>
    <col min="785" max="785" width="4.75" style="23" customWidth="1"/>
    <col min="786" max="786" width="9" style="23"/>
    <col min="787" max="787" width="0.875" style="23" customWidth="1"/>
    <col min="788" max="797" width="0" style="23" hidden="1" customWidth="1"/>
    <col min="798" max="1024" width="9" style="23"/>
    <col min="1025" max="1025" width="1.25" style="23" customWidth="1"/>
    <col min="1026" max="1026" width="9.125" style="23" customWidth="1"/>
    <col min="1027" max="1027" width="2.25" style="23" customWidth="1"/>
    <col min="1028" max="1029" width="9.5" style="23" customWidth="1"/>
    <col min="1030" max="1030" width="0.5" style="23" customWidth="1"/>
    <col min="1031" max="1031" width="8.625" style="23" customWidth="1"/>
    <col min="1032" max="1032" width="4.25" style="23" customWidth="1"/>
    <col min="1033" max="1033" width="4.625" style="23" customWidth="1"/>
    <col min="1034" max="1034" width="4.25" style="23" customWidth="1"/>
    <col min="1035" max="1035" width="4.875" style="23" customWidth="1"/>
    <col min="1036" max="1036" width="3.375" style="23" customWidth="1"/>
    <col min="1037" max="1037" width="6" style="23" customWidth="1"/>
    <col min="1038" max="1038" width="3.375" style="23" customWidth="1"/>
    <col min="1039" max="1039" width="6" style="23" customWidth="1"/>
    <col min="1040" max="1040" width="4.875" style="23" customWidth="1"/>
    <col min="1041" max="1041" width="4.75" style="23" customWidth="1"/>
    <col min="1042" max="1042" width="9" style="23"/>
    <col min="1043" max="1043" width="0.875" style="23" customWidth="1"/>
    <col min="1044" max="1053" width="0" style="23" hidden="1" customWidth="1"/>
    <col min="1054" max="1280" width="9" style="23"/>
    <col min="1281" max="1281" width="1.25" style="23" customWidth="1"/>
    <col min="1282" max="1282" width="9.125" style="23" customWidth="1"/>
    <col min="1283" max="1283" width="2.25" style="23" customWidth="1"/>
    <col min="1284" max="1285" width="9.5" style="23" customWidth="1"/>
    <col min="1286" max="1286" width="0.5" style="23" customWidth="1"/>
    <col min="1287" max="1287" width="8.625" style="23" customWidth="1"/>
    <col min="1288" max="1288" width="4.25" style="23" customWidth="1"/>
    <col min="1289" max="1289" width="4.625" style="23" customWidth="1"/>
    <col min="1290" max="1290" width="4.25" style="23" customWidth="1"/>
    <col min="1291" max="1291" width="4.875" style="23" customWidth="1"/>
    <col min="1292" max="1292" width="3.375" style="23" customWidth="1"/>
    <col min="1293" max="1293" width="6" style="23" customWidth="1"/>
    <col min="1294" max="1294" width="3.375" style="23" customWidth="1"/>
    <col min="1295" max="1295" width="6" style="23" customWidth="1"/>
    <col min="1296" max="1296" width="4.875" style="23" customWidth="1"/>
    <col min="1297" max="1297" width="4.75" style="23" customWidth="1"/>
    <col min="1298" max="1298" width="9" style="23"/>
    <col min="1299" max="1299" width="0.875" style="23" customWidth="1"/>
    <col min="1300" max="1309" width="0" style="23" hidden="1" customWidth="1"/>
    <col min="1310" max="1536" width="9" style="23"/>
    <col min="1537" max="1537" width="1.25" style="23" customWidth="1"/>
    <col min="1538" max="1538" width="9.125" style="23" customWidth="1"/>
    <col min="1539" max="1539" width="2.25" style="23" customWidth="1"/>
    <col min="1540" max="1541" width="9.5" style="23" customWidth="1"/>
    <col min="1542" max="1542" width="0.5" style="23" customWidth="1"/>
    <col min="1543" max="1543" width="8.625" style="23" customWidth="1"/>
    <col min="1544" max="1544" width="4.25" style="23" customWidth="1"/>
    <col min="1545" max="1545" width="4.625" style="23" customWidth="1"/>
    <col min="1546" max="1546" width="4.25" style="23" customWidth="1"/>
    <col min="1547" max="1547" width="4.875" style="23" customWidth="1"/>
    <col min="1548" max="1548" width="3.375" style="23" customWidth="1"/>
    <col min="1549" max="1549" width="6" style="23" customWidth="1"/>
    <col min="1550" max="1550" width="3.375" style="23" customWidth="1"/>
    <col min="1551" max="1551" width="6" style="23" customWidth="1"/>
    <col min="1552" max="1552" width="4.875" style="23" customWidth="1"/>
    <col min="1553" max="1553" width="4.75" style="23" customWidth="1"/>
    <col min="1554" max="1554" width="9" style="23"/>
    <col min="1555" max="1555" width="0.875" style="23" customWidth="1"/>
    <col min="1556" max="1565" width="0" style="23" hidden="1" customWidth="1"/>
    <col min="1566" max="1792" width="9" style="23"/>
    <col min="1793" max="1793" width="1.25" style="23" customWidth="1"/>
    <col min="1794" max="1794" width="9.125" style="23" customWidth="1"/>
    <col min="1795" max="1795" width="2.25" style="23" customWidth="1"/>
    <col min="1796" max="1797" width="9.5" style="23" customWidth="1"/>
    <col min="1798" max="1798" width="0.5" style="23" customWidth="1"/>
    <col min="1799" max="1799" width="8.625" style="23" customWidth="1"/>
    <col min="1800" max="1800" width="4.25" style="23" customWidth="1"/>
    <col min="1801" max="1801" width="4.625" style="23" customWidth="1"/>
    <col min="1802" max="1802" width="4.25" style="23" customWidth="1"/>
    <col min="1803" max="1803" width="4.875" style="23" customWidth="1"/>
    <col min="1804" max="1804" width="3.375" style="23" customWidth="1"/>
    <col min="1805" max="1805" width="6" style="23" customWidth="1"/>
    <col min="1806" max="1806" width="3.375" style="23" customWidth="1"/>
    <col min="1807" max="1807" width="6" style="23" customWidth="1"/>
    <col min="1808" max="1808" width="4.875" style="23" customWidth="1"/>
    <col min="1809" max="1809" width="4.75" style="23" customWidth="1"/>
    <col min="1810" max="1810" width="9" style="23"/>
    <col min="1811" max="1811" width="0.875" style="23" customWidth="1"/>
    <col min="1812" max="1821" width="0" style="23" hidden="1" customWidth="1"/>
    <col min="1822" max="2048" width="9" style="23"/>
    <col min="2049" max="2049" width="1.25" style="23" customWidth="1"/>
    <col min="2050" max="2050" width="9.125" style="23" customWidth="1"/>
    <col min="2051" max="2051" width="2.25" style="23" customWidth="1"/>
    <col min="2052" max="2053" width="9.5" style="23" customWidth="1"/>
    <col min="2054" max="2054" width="0.5" style="23" customWidth="1"/>
    <col min="2055" max="2055" width="8.625" style="23" customWidth="1"/>
    <col min="2056" max="2056" width="4.25" style="23" customWidth="1"/>
    <col min="2057" max="2057" width="4.625" style="23" customWidth="1"/>
    <col min="2058" max="2058" width="4.25" style="23" customWidth="1"/>
    <col min="2059" max="2059" width="4.875" style="23" customWidth="1"/>
    <col min="2060" max="2060" width="3.375" style="23" customWidth="1"/>
    <col min="2061" max="2061" width="6" style="23" customWidth="1"/>
    <col min="2062" max="2062" width="3.375" style="23" customWidth="1"/>
    <col min="2063" max="2063" width="6" style="23" customWidth="1"/>
    <col min="2064" max="2064" width="4.875" style="23" customWidth="1"/>
    <col min="2065" max="2065" width="4.75" style="23" customWidth="1"/>
    <col min="2066" max="2066" width="9" style="23"/>
    <col min="2067" max="2067" width="0.875" style="23" customWidth="1"/>
    <col min="2068" max="2077" width="0" style="23" hidden="1" customWidth="1"/>
    <col min="2078" max="2304" width="9" style="23"/>
    <col min="2305" max="2305" width="1.25" style="23" customWidth="1"/>
    <col min="2306" max="2306" width="9.125" style="23" customWidth="1"/>
    <col min="2307" max="2307" width="2.25" style="23" customWidth="1"/>
    <col min="2308" max="2309" width="9.5" style="23" customWidth="1"/>
    <col min="2310" max="2310" width="0.5" style="23" customWidth="1"/>
    <col min="2311" max="2311" width="8.625" style="23" customWidth="1"/>
    <col min="2312" max="2312" width="4.25" style="23" customWidth="1"/>
    <col min="2313" max="2313" width="4.625" style="23" customWidth="1"/>
    <col min="2314" max="2314" width="4.25" style="23" customWidth="1"/>
    <col min="2315" max="2315" width="4.875" style="23" customWidth="1"/>
    <col min="2316" max="2316" width="3.375" style="23" customWidth="1"/>
    <col min="2317" max="2317" width="6" style="23" customWidth="1"/>
    <col min="2318" max="2318" width="3.375" style="23" customWidth="1"/>
    <col min="2319" max="2319" width="6" style="23" customWidth="1"/>
    <col min="2320" max="2320" width="4.875" style="23" customWidth="1"/>
    <col min="2321" max="2321" width="4.75" style="23" customWidth="1"/>
    <col min="2322" max="2322" width="9" style="23"/>
    <col min="2323" max="2323" width="0.875" style="23" customWidth="1"/>
    <col min="2324" max="2333" width="0" style="23" hidden="1" customWidth="1"/>
    <col min="2334" max="2560" width="9" style="23"/>
    <col min="2561" max="2561" width="1.25" style="23" customWidth="1"/>
    <col min="2562" max="2562" width="9.125" style="23" customWidth="1"/>
    <col min="2563" max="2563" width="2.25" style="23" customWidth="1"/>
    <col min="2564" max="2565" width="9.5" style="23" customWidth="1"/>
    <col min="2566" max="2566" width="0.5" style="23" customWidth="1"/>
    <col min="2567" max="2567" width="8.625" style="23" customWidth="1"/>
    <col min="2568" max="2568" width="4.25" style="23" customWidth="1"/>
    <col min="2569" max="2569" width="4.625" style="23" customWidth="1"/>
    <col min="2570" max="2570" width="4.25" style="23" customWidth="1"/>
    <col min="2571" max="2571" width="4.875" style="23" customWidth="1"/>
    <col min="2572" max="2572" width="3.375" style="23" customWidth="1"/>
    <col min="2573" max="2573" width="6" style="23" customWidth="1"/>
    <col min="2574" max="2574" width="3.375" style="23" customWidth="1"/>
    <col min="2575" max="2575" width="6" style="23" customWidth="1"/>
    <col min="2576" max="2576" width="4.875" style="23" customWidth="1"/>
    <col min="2577" max="2577" width="4.75" style="23" customWidth="1"/>
    <col min="2578" max="2578" width="9" style="23"/>
    <col min="2579" max="2579" width="0.875" style="23" customWidth="1"/>
    <col min="2580" max="2589" width="0" style="23" hidden="1" customWidth="1"/>
    <col min="2590" max="2816" width="9" style="23"/>
    <col min="2817" max="2817" width="1.25" style="23" customWidth="1"/>
    <col min="2818" max="2818" width="9.125" style="23" customWidth="1"/>
    <col min="2819" max="2819" width="2.25" style="23" customWidth="1"/>
    <col min="2820" max="2821" width="9.5" style="23" customWidth="1"/>
    <col min="2822" max="2822" width="0.5" style="23" customWidth="1"/>
    <col min="2823" max="2823" width="8.625" style="23" customWidth="1"/>
    <col min="2824" max="2824" width="4.25" style="23" customWidth="1"/>
    <col min="2825" max="2825" width="4.625" style="23" customWidth="1"/>
    <col min="2826" max="2826" width="4.25" style="23" customWidth="1"/>
    <col min="2827" max="2827" width="4.875" style="23" customWidth="1"/>
    <col min="2828" max="2828" width="3.375" style="23" customWidth="1"/>
    <col min="2829" max="2829" width="6" style="23" customWidth="1"/>
    <col min="2830" max="2830" width="3.375" style="23" customWidth="1"/>
    <col min="2831" max="2831" width="6" style="23" customWidth="1"/>
    <col min="2832" max="2832" width="4.875" style="23" customWidth="1"/>
    <col min="2833" max="2833" width="4.75" style="23" customWidth="1"/>
    <col min="2834" max="2834" width="9" style="23"/>
    <col min="2835" max="2835" width="0.875" style="23" customWidth="1"/>
    <col min="2836" max="2845" width="0" style="23" hidden="1" customWidth="1"/>
    <col min="2846" max="3072" width="9" style="23"/>
    <col min="3073" max="3073" width="1.25" style="23" customWidth="1"/>
    <col min="3074" max="3074" width="9.125" style="23" customWidth="1"/>
    <col min="3075" max="3075" width="2.25" style="23" customWidth="1"/>
    <col min="3076" max="3077" width="9.5" style="23" customWidth="1"/>
    <col min="3078" max="3078" width="0.5" style="23" customWidth="1"/>
    <col min="3079" max="3079" width="8.625" style="23" customWidth="1"/>
    <col min="3080" max="3080" width="4.25" style="23" customWidth="1"/>
    <col min="3081" max="3081" width="4.625" style="23" customWidth="1"/>
    <col min="3082" max="3082" width="4.25" style="23" customWidth="1"/>
    <col min="3083" max="3083" width="4.875" style="23" customWidth="1"/>
    <col min="3084" max="3084" width="3.375" style="23" customWidth="1"/>
    <col min="3085" max="3085" width="6" style="23" customWidth="1"/>
    <col min="3086" max="3086" width="3.375" style="23" customWidth="1"/>
    <col min="3087" max="3087" width="6" style="23" customWidth="1"/>
    <col min="3088" max="3088" width="4.875" style="23" customWidth="1"/>
    <col min="3089" max="3089" width="4.75" style="23" customWidth="1"/>
    <col min="3090" max="3090" width="9" style="23"/>
    <col min="3091" max="3091" width="0.875" style="23" customWidth="1"/>
    <col min="3092" max="3101" width="0" style="23" hidden="1" customWidth="1"/>
    <col min="3102" max="3328" width="9" style="23"/>
    <col min="3329" max="3329" width="1.25" style="23" customWidth="1"/>
    <col min="3330" max="3330" width="9.125" style="23" customWidth="1"/>
    <col min="3331" max="3331" width="2.25" style="23" customWidth="1"/>
    <col min="3332" max="3333" width="9.5" style="23" customWidth="1"/>
    <col min="3334" max="3334" width="0.5" style="23" customWidth="1"/>
    <col min="3335" max="3335" width="8.625" style="23" customWidth="1"/>
    <col min="3336" max="3336" width="4.25" style="23" customWidth="1"/>
    <col min="3337" max="3337" width="4.625" style="23" customWidth="1"/>
    <col min="3338" max="3338" width="4.25" style="23" customWidth="1"/>
    <col min="3339" max="3339" width="4.875" style="23" customWidth="1"/>
    <col min="3340" max="3340" width="3.375" style="23" customWidth="1"/>
    <col min="3341" max="3341" width="6" style="23" customWidth="1"/>
    <col min="3342" max="3342" width="3.375" style="23" customWidth="1"/>
    <col min="3343" max="3343" width="6" style="23" customWidth="1"/>
    <col min="3344" max="3344" width="4.875" style="23" customWidth="1"/>
    <col min="3345" max="3345" width="4.75" style="23" customWidth="1"/>
    <col min="3346" max="3346" width="9" style="23"/>
    <col min="3347" max="3347" width="0.875" style="23" customWidth="1"/>
    <col min="3348" max="3357" width="0" style="23" hidden="1" customWidth="1"/>
    <col min="3358" max="3584" width="9" style="23"/>
    <col min="3585" max="3585" width="1.25" style="23" customWidth="1"/>
    <col min="3586" max="3586" width="9.125" style="23" customWidth="1"/>
    <col min="3587" max="3587" width="2.25" style="23" customWidth="1"/>
    <col min="3588" max="3589" width="9.5" style="23" customWidth="1"/>
    <col min="3590" max="3590" width="0.5" style="23" customWidth="1"/>
    <col min="3591" max="3591" width="8.625" style="23" customWidth="1"/>
    <col min="3592" max="3592" width="4.25" style="23" customWidth="1"/>
    <col min="3593" max="3593" width="4.625" style="23" customWidth="1"/>
    <col min="3594" max="3594" width="4.25" style="23" customWidth="1"/>
    <col min="3595" max="3595" width="4.875" style="23" customWidth="1"/>
    <col min="3596" max="3596" width="3.375" style="23" customWidth="1"/>
    <col min="3597" max="3597" width="6" style="23" customWidth="1"/>
    <col min="3598" max="3598" width="3.375" style="23" customWidth="1"/>
    <col min="3599" max="3599" width="6" style="23" customWidth="1"/>
    <col min="3600" max="3600" width="4.875" style="23" customWidth="1"/>
    <col min="3601" max="3601" width="4.75" style="23" customWidth="1"/>
    <col min="3602" max="3602" width="9" style="23"/>
    <col min="3603" max="3603" width="0.875" style="23" customWidth="1"/>
    <col min="3604" max="3613" width="0" style="23" hidden="1" customWidth="1"/>
    <col min="3614" max="3840" width="9" style="23"/>
    <col min="3841" max="3841" width="1.25" style="23" customWidth="1"/>
    <col min="3842" max="3842" width="9.125" style="23" customWidth="1"/>
    <col min="3843" max="3843" width="2.25" style="23" customWidth="1"/>
    <col min="3844" max="3845" width="9.5" style="23" customWidth="1"/>
    <col min="3846" max="3846" width="0.5" style="23" customWidth="1"/>
    <col min="3847" max="3847" width="8.625" style="23" customWidth="1"/>
    <col min="3848" max="3848" width="4.25" style="23" customWidth="1"/>
    <col min="3849" max="3849" width="4.625" style="23" customWidth="1"/>
    <col min="3850" max="3850" width="4.25" style="23" customWidth="1"/>
    <col min="3851" max="3851" width="4.875" style="23" customWidth="1"/>
    <col min="3852" max="3852" width="3.375" style="23" customWidth="1"/>
    <col min="3853" max="3853" width="6" style="23" customWidth="1"/>
    <col min="3854" max="3854" width="3.375" style="23" customWidth="1"/>
    <col min="3855" max="3855" width="6" style="23" customWidth="1"/>
    <col min="3856" max="3856" width="4.875" style="23" customWidth="1"/>
    <col min="3857" max="3857" width="4.75" style="23" customWidth="1"/>
    <col min="3858" max="3858" width="9" style="23"/>
    <col min="3859" max="3859" width="0.875" style="23" customWidth="1"/>
    <col min="3860" max="3869" width="0" style="23" hidden="1" customWidth="1"/>
    <col min="3870" max="4096" width="9" style="23"/>
    <col min="4097" max="4097" width="1.25" style="23" customWidth="1"/>
    <col min="4098" max="4098" width="9.125" style="23" customWidth="1"/>
    <col min="4099" max="4099" width="2.25" style="23" customWidth="1"/>
    <col min="4100" max="4101" width="9.5" style="23" customWidth="1"/>
    <col min="4102" max="4102" width="0.5" style="23" customWidth="1"/>
    <col min="4103" max="4103" width="8.625" style="23" customWidth="1"/>
    <col min="4104" max="4104" width="4.25" style="23" customWidth="1"/>
    <col min="4105" max="4105" width="4.625" style="23" customWidth="1"/>
    <col min="4106" max="4106" width="4.25" style="23" customWidth="1"/>
    <col min="4107" max="4107" width="4.875" style="23" customWidth="1"/>
    <col min="4108" max="4108" width="3.375" style="23" customWidth="1"/>
    <col min="4109" max="4109" width="6" style="23" customWidth="1"/>
    <col min="4110" max="4110" width="3.375" style="23" customWidth="1"/>
    <col min="4111" max="4111" width="6" style="23" customWidth="1"/>
    <col min="4112" max="4112" width="4.875" style="23" customWidth="1"/>
    <col min="4113" max="4113" width="4.75" style="23" customWidth="1"/>
    <col min="4114" max="4114" width="9" style="23"/>
    <col min="4115" max="4115" width="0.875" style="23" customWidth="1"/>
    <col min="4116" max="4125" width="0" style="23" hidden="1" customWidth="1"/>
    <col min="4126" max="4352" width="9" style="23"/>
    <col min="4353" max="4353" width="1.25" style="23" customWidth="1"/>
    <col min="4354" max="4354" width="9.125" style="23" customWidth="1"/>
    <col min="4355" max="4355" width="2.25" style="23" customWidth="1"/>
    <col min="4356" max="4357" width="9.5" style="23" customWidth="1"/>
    <col min="4358" max="4358" width="0.5" style="23" customWidth="1"/>
    <col min="4359" max="4359" width="8.625" style="23" customWidth="1"/>
    <col min="4360" max="4360" width="4.25" style="23" customWidth="1"/>
    <col min="4361" max="4361" width="4.625" style="23" customWidth="1"/>
    <col min="4362" max="4362" width="4.25" style="23" customWidth="1"/>
    <col min="4363" max="4363" width="4.875" style="23" customWidth="1"/>
    <col min="4364" max="4364" width="3.375" style="23" customWidth="1"/>
    <col min="4365" max="4365" width="6" style="23" customWidth="1"/>
    <col min="4366" max="4366" width="3.375" style="23" customWidth="1"/>
    <col min="4367" max="4367" width="6" style="23" customWidth="1"/>
    <col min="4368" max="4368" width="4.875" style="23" customWidth="1"/>
    <col min="4369" max="4369" width="4.75" style="23" customWidth="1"/>
    <col min="4370" max="4370" width="9" style="23"/>
    <col min="4371" max="4371" width="0.875" style="23" customWidth="1"/>
    <col min="4372" max="4381" width="0" style="23" hidden="1" customWidth="1"/>
    <col min="4382" max="4608" width="9" style="23"/>
    <col min="4609" max="4609" width="1.25" style="23" customWidth="1"/>
    <col min="4610" max="4610" width="9.125" style="23" customWidth="1"/>
    <col min="4611" max="4611" width="2.25" style="23" customWidth="1"/>
    <col min="4612" max="4613" width="9.5" style="23" customWidth="1"/>
    <col min="4614" max="4614" width="0.5" style="23" customWidth="1"/>
    <col min="4615" max="4615" width="8.625" style="23" customWidth="1"/>
    <col min="4616" max="4616" width="4.25" style="23" customWidth="1"/>
    <col min="4617" max="4617" width="4.625" style="23" customWidth="1"/>
    <col min="4618" max="4618" width="4.25" style="23" customWidth="1"/>
    <col min="4619" max="4619" width="4.875" style="23" customWidth="1"/>
    <col min="4620" max="4620" width="3.375" style="23" customWidth="1"/>
    <col min="4621" max="4621" width="6" style="23" customWidth="1"/>
    <col min="4622" max="4622" width="3.375" style="23" customWidth="1"/>
    <col min="4623" max="4623" width="6" style="23" customWidth="1"/>
    <col min="4624" max="4624" width="4.875" style="23" customWidth="1"/>
    <col min="4625" max="4625" width="4.75" style="23" customWidth="1"/>
    <col min="4626" max="4626" width="9" style="23"/>
    <col min="4627" max="4627" width="0.875" style="23" customWidth="1"/>
    <col min="4628" max="4637" width="0" style="23" hidden="1" customWidth="1"/>
    <col min="4638" max="4864" width="9" style="23"/>
    <col min="4865" max="4865" width="1.25" style="23" customWidth="1"/>
    <col min="4866" max="4866" width="9.125" style="23" customWidth="1"/>
    <col min="4867" max="4867" width="2.25" style="23" customWidth="1"/>
    <col min="4868" max="4869" width="9.5" style="23" customWidth="1"/>
    <col min="4870" max="4870" width="0.5" style="23" customWidth="1"/>
    <col min="4871" max="4871" width="8.625" style="23" customWidth="1"/>
    <col min="4872" max="4872" width="4.25" style="23" customWidth="1"/>
    <col min="4873" max="4873" width="4.625" style="23" customWidth="1"/>
    <col min="4874" max="4874" width="4.25" style="23" customWidth="1"/>
    <col min="4875" max="4875" width="4.875" style="23" customWidth="1"/>
    <col min="4876" max="4876" width="3.375" style="23" customWidth="1"/>
    <col min="4877" max="4877" width="6" style="23" customWidth="1"/>
    <col min="4878" max="4878" width="3.375" style="23" customWidth="1"/>
    <col min="4879" max="4879" width="6" style="23" customWidth="1"/>
    <col min="4880" max="4880" width="4.875" style="23" customWidth="1"/>
    <col min="4881" max="4881" width="4.75" style="23" customWidth="1"/>
    <col min="4882" max="4882" width="9" style="23"/>
    <col min="4883" max="4883" width="0.875" style="23" customWidth="1"/>
    <col min="4884" max="4893" width="0" style="23" hidden="1" customWidth="1"/>
    <col min="4894" max="5120" width="9" style="23"/>
    <col min="5121" max="5121" width="1.25" style="23" customWidth="1"/>
    <col min="5122" max="5122" width="9.125" style="23" customWidth="1"/>
    <col min="5123" max="5123" width="2.25" style="23" customWidth="1"/>
    <col min="5124" max="5125" width="9.5" style="23" customWidth="1"/>
    <col min="5126" max="5126" width="0.5" style="23" customWidth="1"/>
    <col min="5127" max="5127" width="8.625" style="23" customWidth="1"/>
    <col min="5128" max="5128" width="4.25" style="23" customWidth="1"/>
    <col min="5129" max="5129" width="4.625" style="23" customWidth="1"/>
    <col min="5130" max="5130" width="4.25" style="23" customWidth="1"/>
    <col min="5131" max="5131" width="4.875" style="23" customWidth="1"/>
    <col min="5132" max="5132" width="3.375" style="23" customWidth="1"/>
    <col min="5133" max="5133" width="6" style="23" customWidth="1"/>
    <col min="5134" max="5134" width="3.375" style="23" customWidth="1"/>
    <col min="5135" max="5135" width="6" style="23" customWidth="1"/>
    <col min="5136" max="5136" width="4.875" style="23" customWidth="1"/>
    <col min="5137" max="5137" width="4.75" style="23" customWidth="1"/>
    <col min="5138" max="5138" width="9" style="23"/>
    <col min="5139" max="5139" width="0.875" style="23" customWidth="1"/>
    <col min="5140" max="5149" width="0" style="23" hidden="1" customWidth="1"/>
    <col min="5150" max="5376" width="9" style="23"/>
    <col min="5377" max="5377" width="1.25" style="23" customWidth="1"/>
    <col min="5378" max="5378" width="9.125" style="23" customWidth="1"/>
    <col min="5379" max="5379" width="2.25" style="23" customWidth="1"/>
    <col min="5380" max="5381" width="9.5" style="23" customWidth="1"/>
    <col min="5382" max="5382" width="0.5" style="23" customWidth="1"/>
    <col min="5383" max="5383" width="8.625" style="23" customWidth="1"/>
    <col min="5384" max="5384" width="4.25" style="23" customWidth="1"/>
    <col min="5385" max="5385" width="4.625" style="23" customWidth="1"/>
    <col min="5386" max="5386" width="4.25" style="23" customWidth="1"/>
    <col min="5387" max="5387" width="4.875" style="23" customWidth="1"/>
    <col min="5388" max="5388" width="3.375" style="23" customWidth="1"/>
    <col min="5389" max="5389" width="6" style="23" customWidth="1"/>
    <col min="5390" max="5390" width="3.375" style="23" customWidth="1"/>
    <col min="5391" max="5391" width="6" style="23" customWidth="1"/>
    <col min="5392" max="5392" width="4.875" style="23" customWidth="1"/>
    <col min="5393" max="5393" width="4.75" style="23" customWidth="1"/>
    <col min="5394" max="5394" width="9" style="23"/>
    <col min="5395" max="5395" width="0.875" style="23" customWidth="1"/>
    <col min="5396" max="5405" width="0" style="23" hidden="1" customWidth="1"/>
    <col min="5406" max="5632" width="9" style="23"/>
    <col min="5633" max="5633" width="1.25" style="23" customWidth="1"/>
    <col min="5634" max="5634" width="9.125" style="23" customWidth="1"/>
    <col min="5635" max="5635" width="2.25" style="23" customWidth="1"/>
    <col min="5636" max="5637" width="9.5" style="23" customWidth="1"/>
    <col min="5638" max="5638" width="0.5" style="23" customWidth="1"/>
    <col min="5639" max="5639" width="8.625" style="23" customWidth="1"/>
    <col min="5640" max="5640" width="4.25" style="23" customWidth="1"/>
    <col min="5641" max="5641" width="4.625" style="23" customWidth="1"/>
    <col min="5642" max="5642" width="4.25" style="23" customWidth="1"/>
    <col min="5643" max="5643" width="4.875" style="23" customWidth="1"/>
    <col min="5644" max="5644" width="3.375" style="23" customWidth="1"/>
    <col min="5645" max="5645" width="6" style="23" customWidth="1"/>
    <col min="5646" max="5646" width="3.375" style="23" customWidth="1"/>
    <col min="5647" max="5647" width="6" style="23" customWidth="1"/>
    <col min="5648" max="5648" width="4.875" style="23" customWidth="1"/>
    <col min="5649" max="5649" width="4.75" style="23" customWidth="1"/>
    <col min="5650" max="5650" width="9" style="23"/>
    <col min="5651" max="5651" width="0.875" style="23" customWidth="1"/>
    <col min="5652" max="5661" width="0" style="23" hidden="1" customWidth="1"/>
    <col min="5662" max="5888" width="9" style="23"/>
    <col min="5889" max="5889" width="1.25" style="23" customWidth="1"/>
    <col min="5890" max="5890" width="9.125" style="23" customWidth="1"/>
    <col min="5891" max="5891" width="2.25" style="23" customWidth="1"/>
    <col min="5892" max="5893" width="9.5" style="23" customWidth="1"/>
    <col min="5894" max="5894" width="0.5" style="23" customWidth="1"/>
    <col min="5895" max="5895" width="8.625" style="23" customWidth="1"/>
    <col min="5896" max="5896" width="4.25" style="23" customWidth="1"/>
    <col min="5897" max="5897" width="4.625" style="23" customWidth="1"/>
    <col min="5898" max="5898" width="4.25" style="23" customWidth="1"/>
    <col min="5899" max="5899" width="4.875" style="23" customWidth="1"/>
    <col min="5900" max="5900" width="3.375" style="23" customWidth="1"/>
    <col min="5901" max="5901" width="6" style="23" customWidth="1"/>
    <col min="5902" max="5902" width="3.375" style="23" customWidth="1"/>
    <col min="5903" max="5903" width="6" style="23" customWidth="1"/>
    <col min="5904" max="5904" width="4.875" style="23" customWidth="1"/>
    <col min="5905" max="5905" width="4.75" style="23" customWidth="1"/>
    <col min="5906" max="5906" width="9" style="23"/>
    <col min="5907" max="5907" width="0.875" style="23" customWidth="1"/>
    <col min="5908" max="5917" width="0" style="23" hidden="1" customWidth="1"/>
    <col min="5918" max="6144" width="9" style="23"/>
    <col min="6145" max="6145" width="1.25" style="23" customWidth="1"/>
    <col min="6146" max="6146" width="9.125" style="23" customWidth="1"/>
    <col min="6147" max="6147" width="2.25" style="23" customWidth="1"/>
    <col min="6148" max="6149" width="9.5" style="23" customWidth="1"/>
    <col min="6150" max="6150" width="0.5" style="23" customWidth="1"/>
    <col min="6151" max="6151" width="8.625" style="23" customWidth="1"/>
    <col min="6152" max="6152" width="4.25" style="23" customWidth="1"/>
    <col min="6153" max="6153" width="4.625" style="23" customWidth="1"/>
    <col min="6154" max="6154" width="4.25" style="23" customWidth="1"/>
    <col min="6155" max="6155" width="4.875" style="23" customWidth="1"/>
    <col min="6156" max="6156" width="3.375" style="23" customWidth="1"/>
    <col min="6157" max="6157" width="6" style="23" customWidth="1"/>
    <col min="6158" max="6158" width="3.375" style="23" customWidth="1"/>
    <col min="6159" max="6159" width="6" style="23" customWidth="1"/>
    <col min="6160" max="6160" width="4.875" style="23" customWidth="1"/>
    <col min="6161" max="6161" width="4.75" style="23" customWidth="1"/>
    <col min="6162" max="6162" width="9" style="23"/>
    <col min="6163" max="6163" width="0.875" style="23" customWidth="1"/>
    <col min="6164" max="6173" width="0" style="23" hidden="1" customWidth="1"/>
    <col min="6174" max="6400" width="9" style="23"/>
    <col min="6401" max="6401" width="1.25" style="23" customWidth="1"/>
    <col min="6402" max="6402" width="9.125" style="23" customWidth="1"/>
    <col min="6403" max="6403" width="2.25" style="23" customWidth="1"/>
    <col min="6404" max="6405" width="9.5" style="23" customWidth="1"/>
    <col min="6406" max="6406" width="0.5" style="23" customWidth="1"/>
    <col min="6407" max="6407" width="8.625" style="23" customWidth="1"/>
    <col min="6408" max="6408" width="4.25" style="23" customWidth="1"/>
    <col min="6409" max="6409" width="4.625" style="23" customWidth="1"/>
    <col min="6410" max="6410" width="4.25" style="23" customWidth="1"/>
    <col min="6411" max="6411" width="4.875" style="23" customWidth="1"/>
    <col min="6412" max="6412" width="3.375" style="23" customWidth="1"/>
    <col min="6413" max="6413" width="6" style="23" customWidth="1"/>
    <col min="6414" max="6414" width="3.375" style="23" customWidth="1"/>
    <col min="6415" max="6415" width="6" style="23" customWidth="1"/>
    <col min="6416" max="6416" width="4.875" style="23" customWidth="1"/>
    <col min="6417" max="6417" width="4.75" style="23" customWidth="1"/>
    <col min="6418" max="6418" width="9" style="23"/>
    <col min="6419" max="6419" width="0.875" style="23" customWidth="1"/>
    <col min="6420" max="6429" width="0" style="23" hidden="1" customWidth="1"/>
    <col min="6430" max="6656" width="9" style="23"/>
    <col min="6657" max="6657" width="1.25" style="23" customWidth="1"/>
    <col min="6658" max="6658" width="9.125" style="23" customWidth="1"/>
    <col min="6659" max="6659" width="2.25" style="23" customWidth="1"/>
    <col min="6660" max="6661" width="9.5" style="23" customWidth="1"/>
    <col min="6662" max="6662" width="0.5" style="23" customWidth="1"/>
    <col min="6663" max="6663" width="8.625" style="23" customWidth="1"/>
    <col min="6664" max="6664" width="4.25" style="23" customWidth="1"/>
    <col min="6665" max="6665" width="4.625" style="23" customWidth="1"/>
    <col min="6666" max="6666" width="4.25" style="23" customWidth="1"/>
    <col min="6667" max="6667" width="4.875" style="23" customWidth="1"/>
    <col min="6668" max="6668" width="3.375" style="23" customWidth="1"/>
    <col min="6669" max="6669" width="6" style="23" customWidth="1"/>
    <col min="6670" max="6670" width="3.375" style="23" customWidth="1"/>
    <col min="6671" max="6671" width="6" style="23" customWidth="1"/>
    <col min="6672" max="6672" width="4.875" style="23" customWidth="1"/>
    <col min="6673" max="6673" width="4.75" style="23" customWidth="1"/>
    <col min="6674" max="6674" width="9" style="23"/>
    <col min="6675" max="6675" width="0.875" style="23" customWidth="1"/>
    <col min="6676" max="6685" width="0" style="23" hidden="1" customWidth="1"/>
    <col min="6686" max="6912" width="9" style="23"/>
    <col min="6913" max="6913" width="1.25" style="23" customWidth="1"/>
    <col min="6914" max="6914" width="9.125" style="23" customWidth="1"/>
    <col min="6915" max="6915" width="2.25" style="23" customWidth="1"/>
    <col min="6916" max="6917" width="9.5" style="23" customWidth="1"/>
    <col min="6918" max="6918" width="0.5" style="23" customWidth="1"/>
    <col min="6919" max="6919" width="8.625" style="23" customWidth="1"/>
    <col min="6920" max="6920" width="4.25" style="23" customWidth="1"/>
    <col min="6921" max="6921" width="4.625" style="23" customWidth="1"/>
    <col min="6922" max="6922" width="4.25" style="23" customWidth="1"/>
    <col min="6923" max="6923" width="4.875" style="23" customWidth="1"/>
    <col min="6924" max="6924" width="3.375" style="23" customWidth="1"/>
    <col min="6925" max="6925" width="6" style="23" customWidth="1"/>
    <col min="6926" max="6926" width="3.375" style="23" customWidth="1"/>
    <col min="6927" max="6927" width="6" style="23" customWidth="1"/>
    <col min="6928" max="6928" width="4.875" style="23" customWidth="1"/>
    <col min="6929" max="6929" width="4.75" style="23" customWidth="1"/>
    <col min="6930" max="6930" width="9" style="23"/>
    <col min="6931" max="6931" width="0.875" style="23" customWidth="1"/>
    <col min="6932" max="6941" width="0" style="23" hidden="1" customWidth="1"/>
    <col min="6942" max="7168" width="9" style="23"/>
    <col min="7169" max="7169" width="1.25" style="23" customWidth="1"/>
    <col min="7170" max="7170" width="9.125" style="23" customWidth="1"/>
    <col min="7171" max="7171" width="2.25" style="23" customWidth="1"/>
    <col min="7172" max="7173" width="9.5" style="23" customWidth="1"/>
    <col min="7174" max="7174" width="0.5" style="23" customWidth="1"/>
    <col min="7175" max="7175" width="8.625" style="23" customWidth="1"/>
    <col min="7176" max="7176" width="4.25" style="23" customWidth="1"/>
    <col min="7177" max="7177" width="4.625" style="23" customWidth="1"/>
    <col min="7178" max="7178" width="4.25" style="23" customWidth="1"/>
    <col min="7179" max="7179" width="4.875" style="23" customWidth="1"/>
    <col min="7180" max="7180" width="3.375" style="23" customWidth="1"/>
    <col min="7181" max="7181" width="6" style="23" customWidth="1"/>
    <col min="7182" max="7182" width="3.375" style="23" customWidth="1"/>
    <col min="7183" max="7183" width="6" style="23" customWidth="1"/>
    <col min="7184" max="7184" width="4.875" style="23" customWidth="1"/>
    <col min="7185" max="7185" width="4.75" style="23" customWidth="1"/>
    <col min="7186" max="7186" width="9" style="23"/>
    <col min="7187" max="7187" width="0.875" style="23" customWidth="1"/>
    <col min="7188" max="7197" width="0" style="23" hidden="1" customWidth="1"/>
    <col min="7198" max="7424" width="9" style="23"/>
    <col min="7425" max="7425" width="1.25" style="23" customWidth="1"/>
    <col min="7426" max="7426" width="9.125" style="23" customWidth="1"/>
    <col min="7427" max="7427" width="2.25" style="23" customWidth="1"/>
    <col min="7428" max="7429" width="9.5" style="23" customWidth="1"/>
    <col min="7430" max="7430" width="0.5" style="23" customWidth="1"/>
    <col min="7431" max="7431" width="8.625" style="23" customWidth="1"/>
    <col min="7432" max="7432" width="4.25" style="23" customWidth="1"/>
    <col min="7433" max="7433" width="4.625" style="23" customWidth="1"/>
    <col min="7434" max="7434" width="4.25" style="23" customWidth="1"/>
    <col min="7435" max="7435" width="4.875" style="23" customWidth="1"/>
    <col min="7436" max="7436" width="3.375" style="23" customWidth="1"/>
    <col min="7437" max="7437" width="6" style="23" customWidth="1"/>
    <col min="7438" max="7438" width="3.375" style="23" customWidth="1"/>
    <col min="7439" max="7439" width="6" style="23" customWidth="1"/>
    <col min="7440" max="7440" width="4.875" style="23" customWidth="1"/>
    <col min="7441" max="7441" width="4.75" style="23" customWidth="1"/>
    <col min="7442" max="7442" width="9" style="23"/>
    <col min="7443" max="7443" width="0.875" style="23" customWidth="1"/>
    <col min="7444" max="7453" width="0" style="23" hidden="1" customWidth="1"/>
    <col min="7454" max="7680" width="9" style="23"/>
    <col min="7681" max="7681" width="1.25" style="23" customWidth="1"/>
    <col min="7682" max="7682" width="9.125" style="23" customWidth="1"/>
    <col min="7683" max="7683" width="2.25" style="23" customWidth="1"/>
    <col min="7684" max="7685" width="9.5" style="23" customWidth="1"/>
    <col min="7686" max="7686" width="0.5" style="23" customWidth="1"/>
    <col min="7687" max="7687" width="8.625" style="23" customWidth="1"/>
    <col min="7688" max="7688" width="4.25" style="23" customWidth="1"/>
    <col min="7689" max="7689" width="4.625" style="23" customWidth="1"/>
    <col min="7690" max="7690" width="4.25" style="23" customWidth="1"/>
    <col min="7691" max="7691" width="4.875" style="23" customWidth="1"/>
    <col min="7692" max="7692" width="3.375" style="23" customWidth="1"/>
    <col min="7693" max="7693" width="6" style="23" customWidth="1"/>
    <col min="7694" max="7694" width="3.375" style="23" customWidth="1"/>
    <col min="7695" max="7695" width="6" style="23" customWidth="1"/>
    <col min="7696" max="7696" width="4.875" style="23" customWidth="1"/>
    <col min="7697" max="7697" width="4.75" style="23" customWidth="1"/>
    <col min="7698" max="7698" width="9" style="23"/>
    <col min="7699" max="7699" width="0.875" style="23" customWidth="1"/>
    <col min="7700" max="7709" width="0" style="23" hidden="1" customWidth="1"/>
    <col min="7710" max="7936" width="9" style="23"/>
    <col min="7937" max="7937" width="1.25" style="23" customWidth="1"/>
    <col min="7938" max="7938" width="9.125" style="23" customWidth="1"/>
    <col min="7939" max="7939" width="2.25" style="23" customWidth="1"/>
    <col min="7940" max="7941" width="9.5" style="23" customWidth="1"/>
    <col min="7942" max="7942" width="0.5" style="23" customWidth="1"/>
    <col min="7943" max="7943" width="8.625" style="23" customWidth="1"/>
    <col min="7944" max="7944" width="4.25" style="23" customWidth="1"/>
    <col min="7945" max="7945" width="4.625" style="23" customWidth="1"/>
    <col min="7946" max="7946" width="4.25" style="23" customWidth="1"/>
    <col min="7947" max="7947" width="4.875" style="23" customWidth="1"/>
    <col min="7948" max="7948" width="3.375" style="23" customWidth="1"/>
    <col min="7949" max="7949" width="6" style="23" customWidth="1"/>
    <col min="7950" max="7950" width="3.375" style="23" customWidth="1"/>
    <col min="7951" max="7951" width="6" style="23" customWidth="1"/>
    <col min="7952" max="7952" width="4.875" style="23" customWidth="1"/>
    <col min="7953" max="7953" width="4.75" style="23" customWidth="1"/>
    <col min="7954" max="7954" width="9" style="23"/>
    <col min="7955" max="7955" width="0.875" style="23" customWidth="1"/>
    <col min="7956" max="7965" width="0" style="23" hidden="1" customWidth="1"/>
    <col min="7966" max="8192" width="9" style="23"/>
    <col min="8193" max="8193" width="1.25" style="23" customWidth="1"/>
    <col min="8194" max="8194" width="9.125" style="23" customWidth="1"/>
    <col min="8195" max="8195" width="2.25" style="23" customWidth="1"/>
    <col min="8196" max="8197" width="9.5" style="23" customWidth="1"/>
    <col min="8198" max="8198" width="0.5" style="23" customWidth="1"/>
    <col min="8199" max="8199" width="8.625" style="23" customWidth="1"/>
    <col min="8200" max="8200" width="4.25" style="23" customWidth="1"/>
    <col min="8201" max="8201" width="4.625" style="23" customWidth="1"/>
    <col min="8202" max="8202" width="4.25" style="23" customWidth="1"/>
    <col min="8203" max="8203" width="4.875" style="23" customWidth="1"/>
    <col min="8204" max="8204" width="3.375" style="23" customWidth="1"/>
    <col min="8205" max="8205" width="6" style="23" customWidth="1"/>
    <col min="8206" max="8206" width="3.375" style="23" customWidth="1"/>
    <col min="8207" max="8207" width="6" style="23" customWidth="1"/>
    <col min="8208" max="8208" width="4.875" style="23" customWidth="1"/>
    <col min="8209" max="8209" width="4.75" style="23" customWidth="1"/>
    <col min="8210" max="8210" width="9" style="23"/>
    <col min="8211" max="8211" width="0.875" style="23" customWidth="1"/>
    <col min="8212" max="8221" width="0" style="23" hidden="1" customWidth="1"/>
    <col min="8222" max="8448" width="9" style="23"/>
    <col min="8449" max="8449" width="1.25" style="23" customWidth="1"/>
    <col min="8450" max="8450" width="9.125" style="23" customWidth="1"/>
    <col min="8451" max="8451" width="2.25" style="23" customWidth="1"/>
    <col min="8452" max="8453" width="9.5" style="23" customWidth="1"/>
    <col min="8454" max="8454" width="0.5" style="23" customWidth="1"/>
    <col min="8455" max="8455" width="8.625" style="23" customWidth="1"/>
    <col min="8456" max="8456" width="4.25" style="23" customWidth="1"/>
    <col min="8457" max="8457" width="4.625" style="23" customWidth="1"/>
    <col min="8458" max="8458" width="4.25" style="23" customWidth="1"/>
    <col min="8459" max="8459" width="4.875" style="23" customWidth="1"/>
    <col min="8460" max="8460" width="3.375" style="23" customWidth="1"/>
    <col min="8461" max="8461" width="6" style="23" customWidth="1"/>
    <col min="8462" max="8462" width="3.375" style="23" customWidth="1"/>
    <col min="8463" max="8463" width="6" style="23" customWidth="1"/>
    <col min="8464" max="8464" width="4.875" style="23" customWidth="1"/>
    <col min="8465" max="8465" width="4.75" style="23" customWidth="1"/>
    <col min="8466" max="8466" width="9" style="23"/>
    <col min="8467" max="8467" width="0.875" style="23" customWidth="1"/>
    <col min="8468" max="8477" width="0" style="23" hidden="1" customWidth="1"/>
    <col min="8478" max="8704" width="9" style="23"/>
    <col min="8705" max="8705" width="1.25" style="23" customWidth="1"/>
    <col min="8706" max="8706" width="9.125" style="23" customWidth="1"/>
    <col min="8707" max="8707" width="2.25" style="23" customWidth="1"/>
    <col min="8708" max="8709" width="9.5" style="23" customWidth="1"/>
    <col min="8710" max="8710" width="0.5" style="23" customWidth="1"/>
    <col min="8711" max="8711" width="8.625" style="23" customWidth="1"/>
    <col min="8712" max="8712" width="4.25" style="23" customWidth="1"/>
    <col min="8713" max="8713" width="4.625" style="23" customWidth="1"/>
    <col min="8714" max="8714" width="4.25" style="23" customWidth="1"/>
    <col min="8715" max="8715" width="4.875" style="23" customWidth="1"/>
    <col min="8716" max="8716" width="3.375" style="23" customWidth="1"/>
    <col min="8717" max="8717" width="6" style="23" customWidth="1"/>
    <col min="8718" max="8718" width="3.375" style="23" customWidth="1"/>
    <col min="8719" max="8719" width="6" style="23" customWidth="1"/>
    <col min="8720" max="8720" width="4.875" style="23" customWidth="1"/>
    <col min="8721" max="8721" width="4.75" style="23" customWidth="1"/>
    <col min="8722" max="8722" width="9" style="23"/>
    <col min="8723" max="8723" width="0.875" style="23" customWidth="1"/>
    <col min="8724" max="8733" width="0" style="23" hidden="1" customWidth="1"/>
    <col min="8734" max="8960" width="9" style="23"/>
    <col min="8961" max="8961" width="1.25" style="23" customWidth="1"/>
    <col min="8962" max="8962" width="9.125" style="23" customWidth="1"/>
    <col min="8963" max="8963" width="2.25" style="23" customWidth="1"/>
    <col min="8964" max="8965" width="9.5" style="23" customWidth="1"/>
    <col min="8966" max="8966" width="0.5" style="23" customWidth="1"/>
    <col min="8967" max="8967" width="8.625" style="23" customWidth="1"/>
    <col min="8968" max="8968" width="4.25" style="23" customWidth="1"/>
    <col min="8969" max="8969" width="4.625" style="23" customWidth="1"/>
    <col min="8970" max="8970" width="4.25" style="23" customWidth="1"/>
    <col min="8971" max="8971" width="4.875" style="23" customWidth="1"/>
    <col min="8972" max="8972" width="3.375" style="23" customWidth="1"/>
    <col min="8973" max="8973" width="6" style="23" customWidth="1"/>
    <col min="8974" max="8974" width="3.375" style="23" customWidth="1"/>
    <col min="8975" max="8975" width="6" style="23" customWidth="1"/>
    <col min="8976" max="8976" width="4.875" style="23" customWidth="1"/>
    <col min="8977" max="8977" width="4.75" style="23" customWidth="1"/>
    <col min="8978" max="8978" width="9" style="23"/>
    <col min="8979" max="8979" width="0.875" style="23" customWidth="1"/>
    <col min="8980" max="8989" width="0" style="23" hidden="1" customWidth="1"/>
    <col min="8990" max="9216" width="9" style="23"/>
    <col min="9217" max="9217" width="1.25" style="23" customWidth="1"/>
    <col min="9218" max="9218" width="9.125" style="23" customWidth="1"/>
    <col min="9219" max="9219" width="2.25" style="23" customWidth="1"/>
    <col min="9220" max="9221" width="9.5" style="23" customWidth="1"/>
    <col min="9222" max="9222" width="0.5" style="23" customWidth="1"/>
    <col min="9223" max="9223" width="8.625" style="23" customWidth="1"/>
    <col min="9224" max="9224" width="4.25" style="23" customWidth="1"/>
    <col min="9225" max="9225" width="4.625" style="23" customWidth="1"/>
    <col min="9226" max="9226" width="4.25" style="23" customWidth="1"/>
    <col min="9227" max="9227" width="4.875" style="23" customWidth="1"/>
    <col min="9228" max="9228" width="3.375" style="23" customWidth="1"/>
    <col min="9229" max="9229" width="6" style="23" customWidth="1"/>
    <col min="9230" max="9230" width="3.375" style="23" customWidth="1"/>
    <col min="9231" max="9231" width="6" style="23" customWidth="1"/>
    <col min="9232" max="9232" width="4.875" style="23" customWidth="1"/>
    <col min="9233" max="9233" width="4.75" style="23" customWidth="1"/>
    <col min="9234" max="9234" width="9" style="23"/>
    <col min="9235" max="9235" width="0.875" style="23" customWidth="1"/>
    <col min="9236" max="9245" width="0" style="23" hidden="1" customWidth="1"/>
    <col min="9246" max="9472" width="9" style="23"/>
    <col min="9473" max="9473" width="1.25" style="23" customWidth="1"/>
    <col min="9474" max="9474" width="9.125" style="23" customWidth="1"/>
    <col min="9475" max="9475" width="2.25" style="23" customWidth="1"/>
    <col min="9476" max="9477" width="9.5" style="23" customWidth="1"/>
    <col min="9478" max="9478" width="0.5" style="23" customWidth="1"/>
    <col min="9479" max="9479" width="8.625" style="23" customWidth="1"/>
    <col min="9480" max="9480" width="4.25" style="23" customWidth="1"/>
    <col min="9481" max="9481" width="4.625" style="23" customWidth="1"/>
    <col min="9482" max="9482" width="4.25" style="23" customWidth="1"/>
    <col min="9483" max="9483" width="4.875" style="23" customWidth="1"/>
    <col min="9484" max="9484" width="3.375" style="23" customWidth="1"/>
    <col min="9485" max="9485" width="6" style="23" customWidth="1"/>
    <col min="9486" max="9486" width="3.375" style="23" customWidth="1"/>
    <col min="9487" max="9487" width="6" style="23" customWidth="1"/>
    <col min="9488" max="9488" width="4.875" style="23" customWidth="1"/>
    <col min="9489" max="9489" width="4.75" style="23" customWidth="1"/>
    <col min="9490" max="9490" width="9" style="23"/>
    <col min="9491" max="9491" width="0.875" style="23" customWidth="1"/>
    <col min="9492" max="9501" width="0" style="23" hidden="1" customWidth="1"/>
    <col min="9502" max="9728" width="9" style="23"/>
    <col min="9729" max="9729" width="1.25" style="23" customWidth="1"/>
    <col min="9730" max="9730" width="9.125" style="23" customWidth="1"/>
    <col min="9731" max="9731" width="2.25" style="23" customWidth="1"/>
    <col min="9732" max="9733" width="9.5" style="23" customWidth="1"/>
    <col min="9734" max="9734" width="0.5" style="23" customWidth="1"/>
    <col min="9735" max="9735" width="8.625" style="23" customWidth="1"/>
    <col min="9736" max="9736" width="4.25" style="23" customWidth="1"/>
    <col min="9737" max="9737" width="4.625" style="23" customWidth="1"/>
    <col min="9738" max="9738" width="4.25" style="23" customWidth="1"/>
    <col min="9739" max="9739" width="4.875" style="23" customWidth="1"/>
    <col min="9740" max="9740" width="3.375" style="23" customWidth="1"/>
    <col min="9741" max="9741" width="6" style="23" customWidth="1"/>
    <col min="9742" max="9742" width="3.375" style="23" customWidth="1"/>
    <col min="9743" max="9743" width="6" style="23" customWidth="1"/>
    <col min="9744" max="9744" width="4.875" style="23" customWidth="1"/>
    <col min="9745" max="9745" width="4.75" style="23" customWidth="1"/>
    <col min="9746" max="9746" width="9" style="23"/>
    <col min="9747" max="9747" width="0.875" style="23" customWidth="1"/>
    <col min="9748" max="9757" width="0" style="23" hidden="1" customWidth="1"/>
    <col min="9758" max="9984" width="9" style="23"/>
    <col min="9985" max="9985" width="1.25" style="23" customWidth="1"/>
    <col min="9986" max="9986" width="9.125" style="23" customWidth="1"/>
    <col min="9987" max="9987" width="2.25" style="23" customWidth="1"/>
    <col min="9988" max="9989" width="9.5" style="23" customWidth="1"/>
    <col min="9990" max="9990" width="0.5" style="23" customWidth="1"/>
    <col min="9991" max="9991" width="8.625" style="23" customWidth="1"/>
    <col min="9992" max="9992" width="4.25" style="23" customWidth="1"/>
    <col min="9993" max="9993" width="4.625" style="23" customWidth="1"/>
    <col min="9994" max="9994" width="4.25" style="23" customWidth="1"/>
    <col min="9995" max="9995" width="4.875" style="23" customWidth="1"/>
    <col min="9996" max="9996" width="3.375" style="23" customWidth="1"/>
    <col min="9997" max="9997" width="6" style="23" customWidth="1"/>
    <col min="9998" max="9998" width="3.375" style="23" customWidth="1"/>
    <col min="9999" max="9999" width="6" style="23" customWidth="1"/>
    <col min="10000" max="10000" width="4.875" style="23" customWidth="1"/>
    <col min="10001" max="10001" width="4.75" style="23" customWidth="1"/>
    <col min="10002" max="10002" width="9" style="23"/>
    <col min="10003" max="10003" width="0.875" style="23" customWidth="1"/>
    <col min="10004" max="10013" width="0" style="23" hidden="1" customWidth="1"/>
    <col min="10014" max="10240" width="9" style="23"/>
    <col min="10241" max="10241" width="1.25" style="23" customWidth="1"/>
    <col min="10242" max="10242" width="9.125" style="23" customWidth="1"/>
    <col min="10243" max="10243" width="2.25" style="23" customWidth="1"/>
    <col min="10244" max="10245" width="9.5" style="23" customWidth="1"/>
    <col min="10246" max="10246" width="0.5" style="23" customWidth="1"/>
    <col min="10247" max="10247" width="8.625" style="23" customWidth="1"/>
    <col min="10248" max="10248" width="4.25" style="23" customWidth="1"/>
    <col min="10249" max="10249" width="4.625" style="23" customWidth="1"/>
    <col min="10250" max="10250" width="4.25" style="23" customWidth="1"/>
    <col min="10251" max="10251" width="4.875" style="23" customWidth="1"/>
    <col min="10252" max="10252" width="3.375" style="23" customWidth="1"/>
    <col min="10253" max="10253" width="6" style="23" customWidth="1"/>
    <col min="10254" max="10254" width="3.375" style="23" customWidth="1"/>
    <col min="10255" max="10255" width="6" style="23" customWidth="1"/>
    <col min="10256" max="10256" width="4.875" style="23" customWidth="1"/>
    <col min="10257" max="10257" width="4.75" style="23" customWidth="1"/>
    <col min="10258" max="10258" width="9" style="23"/>
    <col min="10259" max="10259" width="0.875" style="23" customWidth="1"/>
    <col min="10260" max="10269" width="0" style="23" hidden="1" customWidth="1"/>
    <col min="10270" max="10496" width="9" style="23"/>
    <col min="10497" max="10497" width="1.25" style="23" customWidth="1"/>
    <col min="10498" max="10498" width="9.125" style="23" customWidth="1"/>
    <col min="10499" max="10499" width="2.25" style="23" customWidth="1"/>
    <col min="10500" max="10501" width="9.5" style="23" customWidth="1"/>
    <col min="10502" max="10502" width="0.5" style="23" customWidth="1"/>
    <col min="10503" max="10503" width="8.625" style="23" customWidth="1"/>
    <col min="10504" max="10504" width="4.25" style="23" customWidth="1"/>
    <col min="10505" max="10505" width="4.625" style="23" customWidth="1"/>
    <col min="10506" max="10506" width="4.25" style="23" customWidth="1"/>
    <col min="10507" max="10507" width="4.875" style="23" customWidth="1"/>
    <col min="10508" max="10508" width="3.375" style="23" customWidth="1"/>
    <col min="10509" max="10509" width="6" style="23" customWidth="1"/>
    <col min="10510" max="10510" width="3.375" style="23" customWidth="1"/>
    <col min="10511" max="10511" width="6" style="23" customWidth="1"/>
    <col min="10512" max="10512" width="4.875" style="23" customWidth="1"/>
    <col min="10513" max="10513" width="4.75" style="23" customWidth="1"/>
    <col min="10514" max="10514" width="9" style="23"/>
    <col min="10515" max="10515" width="0.875" style="23" customWidth="1"/>
    <col min="10516" max="10525" width="0" style="23" hidden="1" customWidth="1"/>
    <col min="10526" max="10752" width="9" style="23"/>
    <col min="10753" max="10753" width="1.25" style="23" customWidth="1"/>
    <col min="10754" max="10754" width="9.125" style="23" customWidth="1"/>
    <col min="10755" max="10755" width="2.25" style="23" customWidth="1"/>
    <col min="10756" max="10757" width="9.5" style="23" customWidth="1"/>
    <col min="10758" max="10758" width="0.5" style="23" customWidth="1"/>
    <col min="10759" max="10759" width="8.625" style="23" customWidth="1"/>
    <col min="10760" max="10760" width="4.25" style="23" customWidth="1"/>
    <col min="10761" max="10761" width="4.625" style="23" customWidth="1"/>
    <col min="10762" max="10762" width="4.25" style="23" customWidth="1"/>
    <col min="10763" max="10763" width="4.875" style="23" customWidth="1"/>
    <col min="10764" max="10764" width="3.375" style="23" customWidth="1"/>
    <col min="10765" max="10765" width="6" style="23" customWidth="1"/>
    <col min="10766" max="10766" width="3.375" style="23" customWidth="1"/>
    <col min="10767" max="10767" width="6" style="23" customWidth="1"/>
    <col min="10768" max="10768" width="4.875" style="23" customWidth="1"/>
    <col min="10769" max="10769" width="4.75" style="23" customWidth="1"/>
    <col min="10770" max="10770" width="9" style="23"/>
    <col min="10771" max="10771" width="0.875" style="23" customWidth="1"/>
    <col min="10772" max="10781" width="0" style="23" hidden="1" customWidth="1"/>
    <col min="10782" max="11008" width="9" style="23"/>
    <col min="11009" max="11009" width="1.25" style="23" customWidth="1"/>
    <col min="11010" max="11010" width="9.125" style="23" customWidth="1"/>
    <col min="11011" max="11011" width="2.25" style="23" customWidth="1"/>
    <col min="11012" max="11013" width="9.5" style="23" customWidth="1"/>
    <col min="11014" max="11014" width="0.5" style="23" customWidth="1"/>
    <col min="11015" max="11015" width="8.625" style="23" customWidth="1"/>
    <col min="11016" max="11016" width="4.25" style="23" customWidth="1"/>
    <col min="11017" max="11017" width="4.625" style="23" customWidth="1"/>
    <col min="11018" max="11018" width="4.25" style="23" customWidth="1"/>
    <col min="11019" max="11019" width="4.875" style="23" customWidth="1"/>
    <col min="11020" max="11020" width="3.375" style="23" customWidth="1"/>
    <col min="11021" max="11021" width="6" style="23" customWidth="1"/>
    <col min="11022" max="11022" width="3.375" style="23" customWidth="1"/>
    <col min="11023" max="11023" width="6" style="23" customWidth="1"/>
    <col min="11024" max="11024" width="4.875" style="23" customWidth="1"/>
    <col min="11025" max="11025" width="4.75" style="23" customWidth="1"/>
    <col min="11026" max="11026" width="9" style="23"/>
    <col min="11027" max="11027" width="0.875" style="23" customWidth="1"/>
    <col min="11028" max="11037" width="0" style="23" hidden="1" customWidth="1"/>
    <col min="11038" max="11264" width="9" style="23"/>
    <col min="11265" max="11265" width="1.25" style="23" customWidth="1"/>
    <col min="11266" max="11266" width="9.125" style="23" customWidth="1"/>
    <col min="11267" max="11267" width="2.25" style="23" customWidth="1"/>
    <col min="11268" max="11269" width="9.5" style="23" customWidth="1"/>
    <col min="11270" max="11270" width="0.5" style="23" customWidth="1"/>
    <col min="11271" max="11271" width="8.625" style="23" customWidth="1"/>
    <col min="11272" max="11272" width="4.25" style="23" customWidth="1"/>
    <col min="11273" max="11273" width="4.625" style="23" customWidth="1"/>
    <col min="11274" max="11274" width="4.25" style="23" customWidth="1"/>
    <col min="11275" max="11275" width="4.875" style="23" customWidth="1"/>
    <col min="11276" max="11276" width="3.375" style="23" customWidth="1"/>
    <col min="11277" max="11277" width="6" style="23" customWidth="1"/>
    <col min="11278" max="11278" width="3.375" style="23" customWidth="1"/>
    <col min="11279" max="11279" width="6" style="23" customWidth="1"/>
    <col min="11280" max="11280" width="4.875" style="23" customWidth="1"/>
    <col min="11281" max="11281" width="4.75" style="23" customWidth="1"/>
    <col min="11282" max="11282" width="9" style="23"/>
    <col min="11283" max="11283" width="0.875" style="23" customWidth="1"/>
    <col min="11284" max="11293" width="0" style="23" hidden="1" customWidth="1"/>
    <col min="11294" max="11520" width="9" style="23"/>
    <col min="11521" max="11521" width="1.25" style="23" customWidth="1"/>
    <col min="11522" max="11522" width="9.125" style="23" customWidth="1"/>
    <col min="11523" max="11523" width="2.25" style="23" customWidth="1"/>
    <col min="11524" max="11525" width="9.5" style="23" customWidth="1"/>
    <col min="11526" max="11526" width="0.5" style="23" customWidth="1"/>
    <col min="11527" max="11527" width="8.625" style="23" customWidth="1"/>
    <col min="11528" max="11528" width="4.25" style="23" customWidth="1"/>
    <col min="11529" max="11529" width="4.625" style="23" customWidth="1"/>
    <col min="11530" max="11530" width="4.25" style="23" customWidth="1"/>
    <col min="11531" max="11531" width="4.875" style="23" customWidth="1"/>
    <col min="11532" max="11532" width="3.375" style="23" customWidth="1"/>
    <col min="11533" max="11533" width="6" style="23" customWidth="1"/>
    <col min="11534" max="11534" width="3.375" style="23" customWidth="1"/>
    <col min="11535" max="11535" width="6" style="23" customWidth="1"/>
    <col min="11536" max="11536" width="4.875" style="23" customWidth="1"/>
    <col min="11537" max="11537" width="4.75" style="23" customWidth="1"/>
    <col min="11538" max="11538" width="9" style="23"/>
    <col min="11539" max="11539" width="0.875" style="23" customWidth="1"/>
    <col min="11540" max="11549" width="0" style="23" hidden="1" customWidth="1"/>
    <col min="11550" max="11776" width="9" style="23"/>
    <col min="11777" max="11777" width="1.25" style="23" customWidth="1"/>
    <col min="11778" max="11778" width="9.125" style="23" customWidth="1"/>
    <col min="11779" max="11779" width="2.25" style="23" customWidth="1"/>
    <col min="11780" max="11781" width="9.5" style="23" customWidth="1"/>
    <col min="11782" max="11782" width="0.5" style="23" customWidth="1"/>
    <col min="11783" max="11783" width="8.625" style="23" customWidth="1"/>
    <col min="11784" max="11784" width="4.25" style="23" customWidth="1"/>
    <col min="11785" max="11785" width="4.625" style="23" customWidth="1"/>
    <col min="11786" max="11786" width="4.25" style="23" customWidth="1"/>
    <col min="11787" max="11787" width="4.875" style="23" customWidth="1"/>
    <col min="11788" max="11788" width="3.375" style="23" customWidth="1"/>
    <col min="11789" max="11789" width="6" style="23" customWidth="1"/>
    <col min="11790" max="11790" width="3.375" style="23" customWidth="1"/>
    <col min="11791" max="11791" width="6" style="23" customWidth="1"/>
    <col min="11792" max="11792" width="4.875" style="23" customWidth="1"/>
    <col min="11793" max="11793" width="4.75" style="23" customWidth="1"/>
    <col min="11794" max="11794" width="9" style="23"/>
    <col min="11795" max="11795" width="0.875" style="23" customWidth="1"/>
    <col min="11796" max="11805" width="0" style="23" hidden="1" customWidth="1"/>
    <col min="11806" max="12032" width="9" style="23"/>
    <col min="12033" max="12033" width="1.25" style="23" customWidth="1"/>
    <col min="12034" max="12034" width="9.125" style="23" customWidth="1"/>
    <col min="12035" max="12035" width="2.25" style="23" customWidth="1"/>
    <col min="12036" max="12037" width="9.5" style="23" customWidth="1"/>
    <col min="12038" max="12038" width="0.5" style="23" customWidth="1"/>
    <col min="12039" max="12039" width="8.625" style="23" customWidth="1"/>
    <col min="12040" max="12040" width="4.25" style="23" customWidth="1"/>
    <col min="12041" max="12041" width="4.625" style="23" customWidth="1"/>
    <col min="12042" max="12042" width="4.25" style="23" customWidth="1"/>
    <col min="12043" max="12043" width="4.875" style="23" customWidth="1"/>
    <col min="12044" max="12044" width="3.375" style="23" customWidth="1"/>
    <col min="12045" max="12045" width="6" style="23" customWidth="1"/>
    <col min="12046" max="12046" width="3.375" style="23" customWidth="1"/>
    <col min="12047" max="12047" width="6" style="23" customWidth="1"/>
    <col min="12048" max="12048" width="4.875" style="23" customWidth="1"/>
    <col min="12049" max="12049" width="4.75" style="23" customWidth="1"/>
    <col min="12050" max="12050" width="9" style="23"/>
    <col min="12051" max="12051" width="0.875" style="23" customWidth="1"/>
    <col min="12052" max="12061" width="0" style="23" hidden="1" customWidth="1"/>
    <col min="12062" max="12288" width="9" style="23"/>
    <col min="12289" max="12289" width="1.25" style="23" customWidth="1"/>
    <col min="12290" max="12290" width="9.125" style="23" customWidth="1"/>
    <col min="12291" max="12291" width="2.25" style="23" customWidth="1"/>
    <col min="12292" max="12293" width="9.5" style="23" customWidth="1"/>
    <col min="12294" max="12294" width="0.5" style="23" customWidth="1"/>
    <col min="12295" max="12295" width="8.625" style="23" customWidth="1"/>
    <col min="12296" max="12296" width="4.25" style="23" customWidth="1"/>
    <col min="12297" max="12297" width="4.625" style="23" customWidth="1"/>
    <col min="12298" max="12298" width="4.25" style="23" customWidth="1"/>
    <col min="12299" max="12299" width="4.875" style="23" customWidth="1"/>
    <col min="12300" max="12300" width="3.375" style="23" customWidth="1"/>
    <col min="12301" max="12301" width="6" style="23" customWidth="1"/>
    <col min="12302" max="12302" width="3.375" style="23" customWidth="1"/>
    <col min="12303" max="12303" width="6" style="23" customWidth="1"/>
    <col min="12304" max="12304" width="4.875" style="23" customWidth="1"/>
    <col min="12305" max="12305" width="4.75" style="23" customWidth="1"/>
    <col min="12306" max="12306" width="9" style="23"/>
    <col min="12307" max="12307" width="0.875" style="23" customWidth="1"/>
    <col min="12308" max="12317" width="0" style="23" hidden="1" customWidth="1"/>
    <col min="12318" max="12544" width="9" style="23"/>
    <col min="12545" max="12545" width="1.25" style="23" customWidth="1"/>
    <col min="12546" max="12546" width="9.125" style="23" customWidth="1"/>
    <col min="12547" max="12547" width="2.25" style="23" customWidth="1"/>
    <col min="12548" max="12549" width="9.5" style="23" customWidth="1"/>
    <col min="12550" max="12550" width="0.5" style="23" customWidth="1"/>
    <col min="12551" max="12551" width="8.625" style="23" customWidth="1"/>
    <col min="12552" max="12552" width="4.25" style="23" customWidth="1"/>
    <col min="12553" max="12553" width="4.625" style="23" customWidth="1"/>
    <col min="12554" max="12554" width="4.25" style="23" customWidth="1"/>
    <col min="12555" max="12555" width="4.875" style="23" customWidth="1"/>
    <col min="12556" max="12556" width="3.375" style="23" customWidth="1"/>
    <col min="12557" max="12557" width="6" style="23" customWidth="1"/>
    <col min="12558" max="12558" width="3.375" style="23" customWidth="1"/>
    <col min="12559" max="12559" width="6" style="23" customWidth="1"/>
    <col min="12560" max="12560" width="4.875" style="23" customWidth="1"/>
    <col min="12561" max="12561" width="4.75" style="23" customWidth="1"/>
    <col min="12562" max="12562" width="9" style="23"/>
    <col min="12563" max="12563" width="0.875" style="23" customWidth="1"/>
    <col min="12564" max="12573" width="0" style="23" hidden="1" customWidth="1"/>
    <col min="12574" max="12800" width="9" style="23"/>
    <col min="12801" max="12801" width="1.25" style="23" customWidth="1"/>
    <col min="12802" max="12802" width="9.125" style="23" customWidth="1"/>
    <col min="12803" max="12803" width="2.25" style="23" customWidth="1"/>
    <col min="12804" max="12805" width="9.5" style="23" customWidth="1"/>
    <col min="12806" max="12806" width="0.5" style="23" customWidth="1"/>
    <col min="12807" max="12807" width="8.625" style="23" customWidth="1"/>
    <col min="12808" max="12808" width="4.25" style="23" customWidth="1"/>
    <col min="12809" max="12809" width="4.625" style="23" customWidth="1"/>
    <col min="12810" max="12810" width="4.25" style="23" customWidth="1"/>
    <col min="12811" max="12811" width="4.875" style="23" customWidth="1"/>
    <col min="12812" max="12812" width="3.375" style="23" customWidth="1"/>
    <col min="12813" max="12813" width="6" style="23" customWidth="1"/>
    <col min="12814" max="12814" width="3.375" style="23" customWidth="1"/>
    <col min="12815" max="12815" width="6" style="23" customWidth="1"/>
    <col min="12816" max="12816" width="4.875" style="23" customWidth="1"/>
    <col min="12817" max="12817" width="4.75" style="23" customWidth="1"/>
    <col min="12818" max="12818" width="9" style="23"/>
    <col min="12819" max="12819" width="0.875" style="23" customWidth="1"/>
    <col min="12820" max="12829" width="0" style="23" hidden="1" customWidth="1"/>
    <col min="12830" max="13056" width="9" style="23"/>
    <col min="13057" max="13057" width="1.25" style="23" customWidth="1"/>
    <col min="13058" max="13058" width="9.125" style="23" customWidth="1"/>
    <col min="13059" max="13059" width="2.25" style="23" customWidth="1"/>
    <col min="13060" max="13061" width="9.5" style="23" customWidth="1"/>
    <col min="13062" max="13062" width="0.5" style="23" customWidth="1"/>
    <col min="13063" max="13063" width="8.625" style="23" customWidth="1"/>
    <col min="13064" max="13064" width="4.25" style="23" customWidth="1"/>
    <col min="13065" max="13065" width="4.625" style="23" customWidth="1"/>
    <col min="13066" max="13066" width="4.25" style="23" customWidth="1"/>
    <col min="13067" max="13067" width="4.875" style="23" customWidth="1"/>
    <col min="13068" max="13068" width="3.375" style="23" customWidth="1"/>
    <col min="13069" max="13069" width="6" style="23" customWidth="1"/>
    <col min="13070" max="13070" width="3.375" style="23" customWidth="1"/>
    <col min="13071" max="13071" width="6" style="23" customWidth="1"/>
    <col min="13072" max="13072" width="4.875" style="23" customWidth="1"/>
    <col min="13073" max="13073" width="4.75" style="23" customWidth="1"/>
    <col min="13074" max="13074" width="9" style="23"/>
    <col min="13075" max="13075" width="0.875" style="23" customWidth="1"/>
    <col min="13076" max="13085" width="0" style="23" hidden="1" customWidth="1"/>
    <col min="13086" max="13312" width="9" style="23"/>
    <col min="13313" max="13313" width="1.25" style="23" customWidth="1"/>
    <col min="13314" max="13314" width="9.125" style="23" customWidth="1"/>
    <col min="13315" max="13315" width="2.25" style="23" customWidth="1"/>
    <col min="13316" max="13317" width="9.5" style="23" customWidth="1"/>
    <col min="13318" max="13318" width="0.5" style="23" customWidth="1"/>
    <col min="13319" max="13319" width="8.625" style="23" customWidth="1"/>
    <col min="13320" max="13320" width="4.25" style="23" customWidth="1"/>
    <col min="13321" max="13321" width="4.625" style="23" customWidth="1"/>
    <col min="13322" max="13322" width="4.25" style="23" customWidth="1"/>
    <col min="13323" max="13323" width="4.875" style="23" customWidth="1"/>
    <col min="13324" max="13324" width="3.375" style="23" customWidth="1"/>
    <col min="13325" max="13325" width="6" style="23" customWidth="1"/>
    <col min="13326" max="13326" width="3.375" style="23" customWidth="1"/>
    <col min="13327" max="13327" width="6" style="23" customWidth="1"/>
    <col min="13328" max="13328" width="4.875" style="23" customWidth="1"/>
    <col min="13329" max="13329" width="4.75" style="23" customWidth="1"/>
    <col min="13330" max="13330" width="9" style="23"/>
    <col min="13331" max="13331" width="0.875" style="23" customWidth="1"/>
    <col min="13332" max="13341" width="0" style="23" hidden="1" customWidth="1"/>
    <col min="13342" max="13568" width="9" style="23"/>
    <col min="13569" max="13569" width="1.25" style="23" customWidth="1"/>
    <col min="13570" max="13570" width="9.125" style="23" customWidth="1"/>
    <col min="13571" max="13571" width="2.25" style="23" customWidth="1"/>
    <col min="13572" max="13573" width="9.5" style="23" customWidth="1"/>
    <col min="13574" max="13574" width="0.5" style="23" customWidth="1"/>
    <col min="13575" max="13575" width="8.625" style="23" customWidth="1"/>
    <col min="13576" max="13576" width="4.25" style="23" customWidth="1"/>
    <col min="13577" max="13577" width="4.625" style="23" customWidth="1"/>
    <col min="13578" max="13578" width="4.25" style="23" customWidth="1"/>
    <col min="13579" max="13579" width="4.875" style="23" customWidth="1"/>
    <col min="13580" max="13580" width="3.375" style="23" customWidth="1"/>
    <col min="13581" max="13581" width="6" style="23" customWidth="1"/>
    <col min="13582" max="13582" width="3.375" style="23" customWidth="1"/>
    <col min="13583" max="13583" width="6" style="23" customWidth="1"/>
    <col min="13584" max="13584" width="4.875" style="23" customWidth="1"/>
    <col min="13585" max="13585" width="4.75" style="23" customWidth="1"/>
    <col min="13586" max="13586" width="9" style="23"/>
    <col min="13587" max="13587" width="0.875" style="23" customWidth="1"/>
    <col min="13588" max="13597" width="0" style="23" hidden="1" customWidth="1"/>
    <col min="13598" max="13824" width="9" style="23"/>
    <col min="13825" max="13825" width="1.25" style="23" customWidth="1"/>
    <col min="13826" max="13826" width="9.125" style="23" customWidth="1"/>
    <col min="13827" max="13827" width="2.25" style="23" customWidth="1"/>
    <col min="13828" max="13829" width="9.5" style="23" customWidth="1"/>
    <col min="13830" max="13830" width="0.5" style="23" customWidth="1"/>
    <col min="13831" max="13831" width="8.625" style="23" customWidth="1"/>
    <col min="13832" max="13832" width="4.25" style="23" customWidth="1"/>
    <col min="13833" max="13833" width="4.625" style="23" customWidth="1"/>
    <col min="13834" max="13834" width="4.25" style="23" customWidth="1"/>
    <col min="13835" max="13835" width="4.875" style="23" customWidth="1"/>
    <col min="13836" max="13836" width="3.375" style="23" customWidth="1"/>
    <col min="13837" max="13837" width="6" style="23" customWidth="1"/>
    <col min="13838" max="13838" width="3.375" style="23" customWidth="1"/>
    <col min="13839" max="13839" width="6" style="23" customWidth="1"/>
    <col min="13840" max="13840" width="4.875" style="23" customWidth="1"/>
    <col min="13841" max="13841" width="4.75" style="23" customWidth="1"/>
    <col min="13842" max="13842" width="9" style="23"/>
    <col min="13843" max="13843" width="0.875" style="23" customWidth="1"/>
    <col min="13844" max="13853" width="0" style="23" hidden="1" customWidth="1"/>
    <col min="13854" max="14080" width="9" style="23"/>
    <col min="14081" max="14081" width="1.25" style="23" customWidth="1"/>
    <col min="14082" max="14082" width="9.125" style="23" customWidth="1"/>
    <col min="14083" max="14083" width="2.25" style="23" customWidth="1"/>
    <col min="14084" max="14085" width="9.5" style="23" customWidth="1"/>
    <col min="14086" max="14086" width="0.5" style="23" customWidth="1"/>
    <col min="14087" max="14087" width="8.625" style="23" customWidth="1"/>
    <col min="14088" max="14088" width="4.25" style="23" customWidth="1"/>
    <col min="14089" max="14089" width="4.625" style="23" customWidth="1"/>
    <col min="14090" max="14090" width="4.25" style="23" customWidth="1"/>
    <col min="14091" max="14091" width="4.875" style="23" customWidth="1"/>
    <col min="14092" max="14092" width="3.375" style="23" customWidth="1"/>
    <col min="14093" max="14093" width="6" style="23" customWidth="1"/>
    <col min="14094" max="14094" width="3.375" style="23" customWidth="1"/>
    <col min="14095" max="14095" width="6" style="23" customWidth="1"/>
    <col min="14096" max="14096" width="4.875" style="23" customWidth="1"/>
    <col min="14097" max="14097" width="4.75" style="23" customWidth="1"/>
    <col min="14098" max="14098" width="9" style="23"/>
    <col min="14099" max="14099" width="0.875" style="23" customWidth="1"/>
    <col min="14100" max="14109" width="0" style="23" hidden="1" customWidth="1"/>
    <col min="14110" max="14336" width="9" style="23"/>
    <col min="14337" max="14337" width="1.25" style="23" customWidth="1"/>
    <col min="14338" max="14338" width="9.125" style="23" customWidth="1"/>
    <col min="14339" max="14339" width="2.25" style="23" customWidth="1"/>
    <col min="14340" max="14341" width="9.5" style="23" customWidth="1"/>
    <col min="14342" max="14342" width="0.5" style="23" customWidth="1"/>
    <col min="14343" max="14343" width="8.625" style="23" customWidth="1"/>
    <col min="14344" max="14344" width="4.25" style="23" customWidth="1"/>
    <col min="14345" max="14345" width="4.625" style="23" customWidth="1"/>
    <col min="14346" max="14346" width="4.25" style="23" customWidth="1"/>
    <col min="14347" max="14347" width="4.875" style="23" customWidth="1"/>
    <col min="14348" max="14348" width="3.375" style="23" customWidth="1"/>
    <col min="14349" max="14349" width="6" style="23" customWidth="1"/>
    <col min="14350" max="14350" width="3.375" style="23" customWidth="1"/>
    <col min="14351" max="14351" width="6" style="23" customWidth="1"/>
    <col min="14352" max="14352" width="4.875" style="23" customWidth="1"/>
    <col min="14353" max="14353" width="4.75" style="23" customWidth="1"/>
    <col min="14354" max="14354" width="9" style="23"/>
    <col min="14355" max="14355" width="0.875" style="23" customWidth="1"/>
    <col min="14356" max="14365" width="0" style="23" hidden="1" customWidth="1"/>
    <col min="14366" max="14592" width="9" style="23"/>
    <col min="14593" max="14593" width="1.25" style="23" customWidth="1"/>
    <col min="14594" max="14594" width="9.125" style="23" customWidth="1"/>
    <col min="14595" max="14595" width="2.25" style="23" customWidth="1"/>
    <col min="14596" max="14597" width="9.5" style="23" customWidth="1"/>
    <col min="14598" max="14598" width="0.5" style="23" customWidth="1"/>
    <col min="14599" max="14599" width="8.625" style="23" customWidth="1"/>
    <col min="14600" max="14600" width="4.25" style="23" customWidth="1"/>
    <col min="14601" max="14601" width="4.625" style="23" customWidth="1"/>
    <col min="14602" max="14602" width="4.25" style="23" customWidth="1"/>
    <col min="14603" max="14603" width="4.875" style="23" customWidth="1"/>
    <col min="14604" max="14604" width="3.375" style="23" customWidth="1"/>
    <col min="14605" max="14605" width="6" style="23" customWidth="1"/>
    <col min="14606" max="14606" width="3.375" style="23" customWidth="1"/>
    <col min="14607" max="14607" width="6" style="23" customWidth="1"/>
    <col min="14608" max="14608" width="4.875" style="23" customWidth="1"/>
    <col min="14609" max="14609" width="4.75" style="23" customWidth="1"/>
    <col min="14610" max="14610" width="9" style="23"/>
    <col min="14611" max="14611" width="0.875" style="23" customWidth="1"/>
    <col min="14612" max="14621" width="0" style="23" hidden="1" customWidth="1"/>
    <col min="14622" max="14848" width="9" style="23"/>
    <col min="14849" max="14849" width="1.25" style="23" customWidth="1"/>
    <col min="14850" max="14850" width="9.125" style="23" customWidth="1"/>
    <col min="14851" max="14851" width="2.25" style="23" customWidth="1"/>
    <col min="14852" max="14853" width="9.5" style="23" customWidth="1"/>
    <col min="14854" max="14854" width="0.5" style="23" customWidth="1"/>
    <col min="14855" max="14855" width="8.625" style="23" customWidth="1"/>
    <col min="14856" max="14856" width="4.25" style="23" customWidth="1"/>
    <col min="14857" max="14857" width="4.625" style="23" customWidth="1"/>
    <col min="14858" max="14858" width="4.25" style="23" customWidth="1"/>
    <col min="14859" max="14859" width="4.875" style="23" customWidth="1"/>
    <col min="14860" max="14860" width="3.375" style="23" customWidth="1"/>
    <col min="14861" max="14861" width="6" style="23" customWidth="1"/>
    <col min="14862" max="14862" width="3.375" style="23" customWidth="1"/>
    <col min="14863" max="14863" width="6" style="23" customWidth="1"/>
    <col min="14864" max="14864" width="4.875" style="23" customWidth="1"/>
    <col min="14865" max="14865" width="4.75" style="23" customWidth="1"/>
    <col min="14866" max="14866" width="9" style="23"/>
    <col min="14867" max="14867" width="0.875" style="23" customWidth="1"/>
    <col min="14868" max="14877" width="0" style="23" hidden="1" customWidth="1"/>
    <col min="14878" max="15104" width="9" style="23"/>
    <col min="15105" max="15105" width="1.25" style="23" customWidth="1"/>
    <col min="15106" max="15106" width="9.125" style="23" customWidth="1"/>
    <col min="15107" max="15107" width="2.25" style="23" customWidth="1"/>
    <col min="15108" max="15109" width="9.5" style="23" customWidth="1"/>
    <col min="15110" max="15110" width="0.5" style="23" customWidth="1"/>
    <col min="15111" max="15111" width="8.625" style="23" customWidth="1"/>
    <col min="15112" max="15112" width="4.25" style="23" customWidth="1"/>
    <col min="15113" max="15113" width="4.625" style="23" customWidth="1"/>
    <col min="15114" max="15114" width="4.25" style="23" customWidth="1"/>
    <col min="15115" max="15115" width="4.875" style="23" customWidth="1"/>
    <col min="15116" max="15116" width="3.375" style="23" customWidth="1"/>
    <col min="15117" max="15117" width="6" style="23" customWidth="1"/>
    <col min="15118" max="15118" width="3.375" style="23" customWidth="1"/>
    <col min="15119" max="15119" width="6" style="23" customWidth="1"/>
    <col min="15120" max="15120" width="4.875" style="23" customWidth="1"/>
    <col min="15121" max="15121" width="4.75" style="23" customWidth="1"/>
    <col min="15122" max="15122" width="9" style="23"/>
    <col min="15123" max="15123" width="0.875" style="23" customWidth="1"/>
    <col min="15124" max="15133" width="0" style="23" hidden="1" customWidth="1"/>
    <col min="15134" max="15360" width="9" style="23"/>
    <col min="15361" max="15361" width="1.25" style="23" customWidth="1"/>
    <col min="15362" max="15362" width="9.125" style="23" customWidth="1"/>
    <col min="15363" max="15363" width="2.25" style="23" customWidth="1"/>
    <col min="15364" max="15365" width="9.5" style="23" customWidth="1"/>
    <col min="15366" max="15366" width="0.5" style="23" customWidth="1"/>
    <col min="15367" max="15367" width="8.625" style="23" customWidth="1"/>
    <col min="15368" max="15368" width="4.25" style="23" customWidth="1"/>
    <col min="15369" max="15369" width="4.625" style="23" customWidth="1"/>
    <col min="15370" max="15370" width="4.25" style="23" customWidth="1"/>
    <col min="15371" max="15371" width="4.875" style="23" customWidth="1"/>
    <col min="15372" max="15372" width="3.375" style="23" customWidth="1"/>
    <col min="15373" max="15373" width="6" style="23" customWidth="1"/>
    <col min="15374" max="15374" width="3.375" style="23" customWidth="1"/>
    <col min="15375" max="15375" width="6" style="23" customWidth="1"/>
    <col min="15376" max="15376" width="4.875" style="23" customWidth="1"/>
    <col min="15377" max="15377" width="4.75" style="23" customWidth="1"/>
    <col min="15378" max="15378" width="9" style="23"/>
    <col min="15379" max="15379" width="0.875" style="23" customWidth="1"/>
    <col min="15380" max="15389" width="0" style="23" hidden="1" customWidth="1"/>
    <col min="15390" max="15616" width="9" style="23"/>
    <col min="15617" max="15617" width="1.25" style="23" customWidth="1"/>
    <col min="15618" max="15618" width="9.125" style="23" customWidth="1"/>
    <col min="15619" max="15619" width="2.25" style="23" customWidth="1"/>
    <col min="15620" max="15621" width="9.5" style="23" customWidth="1"/>
    <col min="15622" max="15622" width="0.5" style="23" customWidth="1"/>
    <col min="15623" max="15623" width="8.625" style="23" customWidth="1"/>
    <col min="15624" max="15624" width="4.25" style="23" customWidth="1"/>
    <col min="15625" max="15625" width="4.625" style="23" customWidth="1"/>
    <col min="15626" max="15626" width="4.25" style="23" customWidth="1"/>
    <col min="15627" max="15627" width="4.875" style="23" customWidth="1"/>
    <col min="15628" max="15628" width="3.375" style="23" customWidth="1"/>
    <col min="15629" max="15629" width="6" style="23" customWidth="1"/>
    <col min="15630" max="15630" width="3.375" style="23" customWidth="1"/>
    <col min="15631" max="15631" width="6" style="23" customWidth="1"/>
    <col min="15632" max="15632" width="4.875" style="23" customWidth="1"/>
    <col min="15633" max="15633" width="4.75" style="23" customWidth="1"/>
    <col min="15634" max="15634" width="9" style="23"/>
    <col min="15635" max="15635" width="0.875" style="23" customWidth="1"/>
    <col min="15636" max="15645" width="0" style="23" hidden="1" customWidth="1"/>
    <col min="15646" max="15872" width="9" style="23"/>
    <col min="15873" max="15873" width="1.25" style="23" customWidth="1"/>
    <col min="15874" max="15874" width="9.125" style="23" customWidth="1"/>
    <col min="15875" max="15875" width="2.25" style="23" customWidth="1"/>
    <col min="15876" max="15877" width="9.5" style="23" customWidth="1"/>
    <col min="15878" max="15878" width="0.5" style="23" customWidth="1"/>
    <col min="15879" max="15879" width="8.625" style="23" customWidth="1"/>
    <col min="15880" max="15880" width="4.25" style="23" customWidth="1"/>
    <col min="15881" max="15881" width="4.625" style="23" customWidth="1"/>
    <col min="15882" max="15882" width="4.25" style="23" customWidth="1"/>
    <col min="15883" max="15883" width="4.875" style="23" customWidth="1"/>
    <col min="15884" max="15884" width="3.375" style="23" customWidth="1"/>
    <col min="15885" max="15885" width="6" style="23" customWidth="1"/>
    <col min="15886" max="15886" width="3.375" style="23" customWidth="1"/>
    <col min="15887" max="15887" width="6" style="23" customWidth="1"/>
    <col min="15888" max="15888" width="4.875" style="23" customWidth="1"/>
    <col min="15889" max="15889" width="4.75" style="23" customWidth="1"/>
    <col min="15890" max="15890" width="9" style="23"/>
    <col min="15891" max="15891" width="0.875" style="23" customWidth="1"/>
    <col min="15892" max="15901" width="0" style="23" hidden="1" customWidth="1"/>
    <col min="15902" max="16128" width="9" style="23"/>
    <col min="16129" max="16129" width="1.25" style="23" customWidth="1"/>
    <col min="16130" max="16130" width="9.125" style="23" customWidth="1"/>
    <col min="16131" max="16131" width="2.25" style="23" customWidth="1"/>
    <col min="16132" max="16133" width="9.5" style="23" customWidth="1"/>
    <col min="16134" max="16134" width="0.5" style="23" customWidth="1"/>
    <col min="16135" max="16135" width="8.625" style="23" customWidth="1"/>
    <col min="16136" max="16136" width="4.25" style="23" customWidth="1"/>
    <col min="16137" max="16137" width="4.625" style="23" customWidth="1"/>
    <col min="16138" max="16138" width="4.25" style="23" customWidth="1"/>
    <col min="16139" max="16139" width="4.875" style="23" customWidth="1"/>
    <col min="16140" max="16140" width="3.375" style="23" customWidth="1"/>
    <col min="16141" max="16141" width="6" style="23" customWidth="1"/>
    <col min="16142" max="16142" width="3.375" style="23" customWidth="1"/>
    <col min="16143" max="16143" width="6" style="23" customWidth="1"/>
    <col min="16144" max="16144" width="4.875" style="23" customWidth="1"/>
    <col min="16145" max="16145" width="4.75" style="23" customWidth="1"/>
    <col min="16146" max="16146" width="9" style="23"/>
    <col min="16147" max="16147" width="0.875" style="23" customWidth="1"/>
    <col min="16148" max="16157" width="0" style="23" hidden="1" customWidth="1"/>
    <col min="16158" max="16384" width="9" style="23"/>
  </cols>
  <sheetData>
    <row r="1" spans="2:29" s="4" customFormat="1" ht="30" customHeight="1" thickBot="1">
      <c r="B1" s="243" t="s">
        <v>1</v>
      </c>
      <c r="C1" s="244"/>
      <c r="D1" s="244"/>
      <c r="E1" s="244"/>
      <c r="F1" s="1"/>
      <c r="G1" s="245" t="s">
        <v>140</v>
      </c>
      <c r="H1" s="245"/>
      <c r="I1" s="2">
        <v>7</v>
      </c>
      <c r="J1" s="2" t="s">
        <v>2</v>
      </c>
      <c r="K1" s="2">
        <v>12</v>
      </c>
      <c r="L1" s="2" t="s">
        <v>3</v>
      </c>
      <c r="M1" s="2">
        <v>12</v>
      </c>
      <c r="N1" s="2" t="s">
        <v>141</v>
      </c>
      <c r="O1" s="246" t="s">
        <v>4</v>
      </c>
      <c r="P1" s="247"/>
      <c r="Q1" s="248" t="s">
        <v>74</v>
      </c>
      <c r="R1" s="247"/>
      <c r="S1" s="3"/>
    </row>
    <row r="2" spans="2:29" s="4" customFormat="1" ht="5.25" customHeight="1" thickTop="1">
      <c r="B2" s="5"/>
      <c r="C2" s="5"/>
      <c r="D2" s="5"/>
      <c r="E2" s="5"/>
    </row>
    <row r="3" spans="2:29" s="7" customFormat="1" ht="18" customHeight="1">
      <c r="B3" s="6" t="s">
        <v>5</v>
      </c>
      <c r="C3" s="249" t="s">
        <v>142</v>
      </c>
      <c r="D3" s="250"/>
      <c r="E3" s="251"/>
      <c r="F3" s="252" t="s">
        <v>6</v>
      </c>
      <c r="G3" s="253"/>
      <c r="H3" s="249" t="s">
        <v>143</v>
      </c>
      <c r="I3" s="250"/>
      <c r="J3" s="250"/>
      <c r="K3" s="251"/>
      <c r="L3" s="254" t="s">
        <v>7</v>
      </c>
      <c r="M3" s="255"/>
      <c r="N3" s="249" t="s">
        <v>144</v>
      </c>
      <c r="O3" s="250"/>
      <c r="P3" s="250"/>
      <c r="Q3" s="250"/>
      <c r="R3" s="251"/>
      <c r="T3" s="239" t="s">
        <v>8</v>
      </c>
      <c r="U3" s="240"/>
      <c r="V3" s="240"/>
      <c r="W3" s="240"/>
      <c r="X3" s="240"/>
      <c r="Y3" s="240"/>
      <c r="Z3" s="240"/>
      <c r="AA3" s="240"/>
      <c r="AB3" s="240"/>
      <c r="AC3" s="241"/>
    </row>
    <row r="4" spans="2:29" s="4" customFormat="1" ht="17.25" customHeight="1">
      <c r="B4" s="231" t="s">
        <v>9</v>
      </c>
      <c r="C4" s="231"/>
      <c r="D4" s="224"/>
      <c r="E4" s="225"/>
      <c r="F4" s="8"/>
      <c r="G4" s="226" t="s">
        <v>10</v>
      </c>
      <c r="H4" s="215"/>
      <c r="I4" s="224" t="s">
        <v>145</v>
      </c>
      <c r="J4" s="227"/>
      <c r="K4" s="227"/>
      <c r="L4" s="227"/>
      <c r="M4" s="227"/>
      <c r="N4" s="227"/>
      <c r="O4" s="227"/>
      <c r="P4" s="227"/>
      <c r="Q4" s="227"/>
      <c r="R4" s="228"/>
      <c r="T4" s="9" t="s">
        <v>11</v>
      </c>
      <c r="U4" s="10" t="s">
        <v>12</v>
      </c>
      <c r="V4" s="11"/>
      <c r="W4" s="12" t="s">
        <v>13</v>
      </c>
      <c r="X4" s="13" t="s">
        <v>14</v>
      </c>
      <c r="Y4" s="11"/>
      <c r="Z4" s="14" t="s">
        <v>15</v>
      </c>
      <c r="AA4" s="15" t="s">
        <v>16</v>
      </c>
      <c r="AB4" s="11"/>
      <c r="AC4" s="14" t="s">
        <v>17</v>
      </c>
    </row>
    <row r="5" spans="2:29" s="8" customFormat="1" ht="17.25" customHeight="1">
      <c r="B5" s="238" t="s">
        <v>18</v>
      </c>
      <c r="C5" s="238"/>
      <c r="D5" s="242">
        <v>640</v>
      </c>
      <c r="E5" s="233"/>
      <c r="G5" s="226" t="s">
        <v>19</v>
      </c>
      <c r="H5" s="215"/>
      <c r="I5" s="224" t="s">
        <v>114</v>
      </c>
      <c r="J5" s="227"/>
      <c r="K5" s="227"/>
      <c r="L5" s="227"/>
      <c r="M5" s="227"/>
      <c r="N5" s="227"/>
      <c r="O5" s="227"/>
      <c r="P5" s="227"/>
      <c r="Q5" s="227"/>
      <c r="R5" s="228"/>
      <c r="S5" s="3" t="s">
        <v>20</v>
      </c>
      <c r="T5" s="13" t="s">
        <v>21</v>
      </c>
      <c r="U5" s="10" t="s">
        <v>12</v>
      </c>
      <c r="V5" s="11"/>
      <c r="W5" s="12" t="s">
        <v>13</v>
      </c>
      <c r="X5" s="13" t="s">
        <v>14</v>
      </c>
      <c r="Y5" s="11"/>
      <c r="Z5" s="14" t="s">
        <v>15</v>
      </c>
      <c r="AA5" s="15" t="s">
        <v>16</v>
      </c>
      <c r="AB5" s="11"/>
      <c r="AC5" s="14" t="s">
        <v>17</v>
      </c>
    </row>
    <row r="6" spans="2:29" s="8" customFormat="1" ht="17.25" customHeight="1">
      <c r="B6" s="231" t="s">
        <v>22</v>
      </c>
      <c r="C6" s="231"/>
      <c r="D6" s="232">
        <v>1200</v>
      </c>
      <c r="E6" s="233"/>
      <c r="G6" s="226" t="s">
        <v>24</v>
      </c>
      <c r="H6" s="215"/>
      <c r="I6" s="224" t="s">
        <v>146</v>
      </c>
      <c r="J6" s="227"/>
      <c r="K6" s="227"/>
      <c r="L6" s="227"/>
      <c r="M6" s="227"/>
      <c r="N6" s="227"/>
      <c r="O6" s="227"/>
      <c r="P6" s="227"/>
      <c r="Q6" s="227"/>
      <c r="R6" s="228"/>
      <c r="S6" s="3"/>
      <c r="T6" s="234"/>
      <c r="U6" s="235"/>
      <c r="V6" s="235"/>
      <c r="W6" s="235"/>
      <c r="X6" s="235"/>
      <c r="Y6" s="235"/>
      <c r="Z6" s="235"/>
      <c r="AA6" s="235"/>
      <c r="AB6" s="235"/>
      <c r="AC6" s="236"/>
    </row>
    <row r="7" spans="2:29" s="8" customFormat="1" ht="17.25" customHeight="1">
      <c r="B7" s="237" t="s">
        <v>23</v>
      </c>
      <c r="C7" s="238"/>
      <c r="D7" s="16">
        <v>46163</v>
      </c>
      <c r="E7" s="17" t="s">
        <v>147</v>
      </c>
      <c r="G7" s="226" t="s">
        <v>27</v>
      </c>
      <c r="H7" s="215"/>
      <c r="I7" s="224" t="s">
        <v>148</v>
      </c>
      <c r="J7" s="227"/>
      <c r="K7" s="227"/>
      <c r="L7" s="227"/>
      <c r="M7" s="227"/>
      <c r="N7" s="227"/>
      <c r="O7" s="227"/>
      <c r="P7" s="227"/>
      <c r="Q7" s="227"/>
      <c r="R7" s="228"/>
      <c r="S7" s="3"/>
      <c r="T7" s="120"/>
      <c r="U7" s="121"/>
      <c r="V7" s="121"/>
      <c r="W7" s="121"/>
      <c r="X7" s="121"/>
      <c r="Y7" s="121"/>
      <c r="Z7" s="121"/>
      <c r="AA7" s="121"/>
      <c r="AB7" s="121"/>
      <c r="AC7" s="122"/>
    </row>
    <row r="8" spans="2:29" s="8" customFormat="1" ht="17.25" customHeight="1">
      <c r="B8" s="199" t="s">
        <v>25</v>
      </c>
      <c r="C8" s="211"/>
      <c r="D8" s="224" t="s">
        <v>26</v>
      </c>
      <c r="E8" s="225"/>
      <c r="G8" s="226" t="s">
        <v>29</v>
      </c>
      <c r="H8" s="215"/>
      <c r="I8" s="224" t="s">
        <v>149</v>
      </c>
      <c r="J8" s="227"/>
      <c r="K8" s="227"/>
      <c r="L8" s="227"/>
      <c r="M8" s="227"/>
      <c r="N8" s="227"/>
      <c r="O8" s="227"/>
      <c r="P8" s="227"/>
      <c r="Q8" s="227"/>
      <c r="R8" s="228"/>
      <c r="S8" s="3"/>
      <c r="T8" s="120"/>
      <c r="U8" s="121"/>
      <c r="V8" s="121"/>
      <c r="W8" s="121"/>
      <c r="X8" s="121"/>
      <c r="Y8" s="121"/>
      <c r="Z8" s="121"/>
      <c r="AA8" s="121"/>
      <c r="AB8" s="121"/>
      <c r="AC8" s="122"/>
    </row>
    <row r="9" spans="2:29" s="8" customFormat="1" ht="17.25" customHeight="1">
      <c r="B9" s="226" t="s">
        <v>28</v>
      </c>
      <c r="C9" s="215"/>
      <c r="D9" s="229">
        <v>2990</v>
      </c>
      <c r="E9" s="230"/>
      <c r="G9" s="203" t="s">
        <v>32</v>
      </c>
      <c r="H9" s="204"/>
      <c r="I9" s="205" t="s">
        <v>150</v>
      </c>
      <c r="J9" s="206"/>
      <c r="K9" s="206"/>
      <c r="L9" s="206"/>
      <c r="M9" s="206"/>
      <c r="N9" s="206"/>
      <c r="O9" s="206"/>
      <c r="P9" s="206"/>
      <c r="Q9" s="206"/>
      <c r="R9" s="207"/>
      <c r="S9" s="3"/>
      <c r="T9" s="120"/>
      <c r="U9" s="121"/>
      <c r="V9" s="121"/>
      <c r="W9" s="121"/>
      <c r="X9" s="121"/>
      <c r="Y9" s="121"/>
      <c r="Z9" s="121"/>
      <c r="AA9" s="121"/>
      <c r="AB9" s="121"/>
      <c r="AC9" s="122"/>
    </row>
    <row r="10" spans="2:29" s="8" customFormat="1" ht="17.25" customHeight="1">
      <c r="B10" s="199" t="s">
        <v>30</v>
      </c>
      <c r="C10" s="200"/>
      <c r="D10" s="18">
        <v>1580</v>
      </c>
      <c r="E10" s="19" t="s">
        <v>31</v>
      </c>
      <c r="G10" s="203" t="s">
        <v>34</v>
      </c>
      <c r="H10" s="204"/>
      <c r="I10" s="205" t="s">
        <v>151</v>
      </c>
      <c r="J10" s="206"/>
      <c r="K10" s="206"/>
      <c r="L10" s="206"/>
      <c r="M10" s="206"/>
      <c r="N10" s="206"/>
      <c r="O10" s="206"/>
      <c r="P10" s="206"/>
      <c r="Q10" s="206"/>
      <c r="R10" s="207"/>
      <c r="S10" s="3"/>
      <c r="T10" s="120"/>
      <c r="U10" s="121"/>
      <c r="V10" s="121"/>
      <c r="W10" s="121"/>
      <c r="X10" s="121"/>
      <c r="Y10" s="121"/>
      <c r="Z10" s="121"/>
      <c r="AA10" s="121"/>
      <c r="AB10" s="121"/>
      <c r="AC10" s="122"/>
    </row>
    <row r="11" spans="2:29" s="8" customFormat="1" ht="17.25" customHeight="1">
      <c r="B11" s="219" t="s">
        <v>33</v>
      </c>
      <c r="C11" s="220"/>
      <c r="D11" s="18">
        <v>1102</v>
      </c>
      <c r="E11" s="19" t="s">
        <v>152</v>
      </c>
      <c r="G11" s="214" t="s">
        <v>35</v>
      </c>
      <c r="H11" s="215"/>
      <c r="I11" s="221" t="s">
        <v>36</v>
      </c>
      <c r="J11" s="222"/>
      <c r="K11" s="222"/>
      <c r="L11" s="222"/>
      <c r="M11" s="222"/>
      <c r="N11" s="222"/>
      <c r="O11" s="222"/>
      <c r="P11" s="222"/>
      <c r="Q11" s="222"/>
      <c r="R11" s="223"/>
      <c r="S11" s="3"/>
      <c r="T11" s="120"/>
      <c r="U11" s="121"/>
      <c r="V11" s="121"/>
      <c r="W11" s="121"/>
      <c r="X11" s="121"/>
      <c r="Y11" s="121"/>
      <c r="Z11" s="121"/>
      <c r="AA11" s="121"/>
      <c r="AB11" s="121"/>
      <c r="AC11" s="122"/>
    </row>
    <row r="12" spans="2:29" s="8" customFormat="1" ht="17.25" customHeight="1">
      <c r="B12" s="199" t="s">
        <v>153</v>
      </c>
      <c r="C12" s="200"/>
      <c r="D12" s="20">
        <f>(D10-D11)/D10</f>
        <v>0.30253164556962026</v>
      </c>
      <c r="E12" s="21" t="s">
        <v>154</v>
      </c>
      <c r="G12" s="214" t="s">
        <v>37</v>
      </c>
      <c r="H12" s="215"/>
      <c r="I12" s="216"/>
      <c r="J12" s="217"/>
      <c r="K12" s="217"/>
      <c r="L12" s="217"/>
      <c r="M12" s="218" t="s">
        <v>38</v>
      </c>
      <c r="N12" s="215"/>
      <c r="O12" s="212" t="s">
        <v>155</v>
      </c>
      <c r="P12" s="213"/>
      <c r="Q12" s="213"/>
      <c r="R12" s="209"/>
      <c r="S12" s="3"/>
      <c r="T12" s="120"/>
      <c r="U12" s="121"/>
      <c r="V12" s="121"/>
      <c r="W12" s="121"/>
      <c r="X12" s="121"/>
      <c r="Y12" s="121"/>
      <c r="Z12" s="121"/>
      <c r="AA12" s="121"/>
      <c r="AB12" s="121"/>
      <c r="AC12" s="122"/>
    </row>
    <row r="13" spans="2:29" s="8" customFormat="1" ht="17.25" customHeight="1">
      <c r="B13" s="199"/>
      <c r="C13" s="200"/>
      <c r="D13" s="201"/>
      <c r="E13" s="202"/>
      <c r="G13" s="203" t="s">
        <v>0</v>
      </c>
      <c r="H13" s="204"/>
      <c r="I13" s="205"/>
      <c r="J13" s="206"/>
      <c r="K13" s="206"/>
      <c r="L13" s="206"/>
      <c r="M13" s="206"/>
      <c r="N13" s="206"/>
      <c r="O13" s="206"/>
      <c r="P13" s="206"/>
      <c r="Q13" s="206"/>
      <c r="R13" s="207"/>
      <c r="S13" s="3"/>
      <c r="T13" s="120"/>
      <c r="U13" s="121"/>
      <c r="V13" s="121"/>
      <c r="W13" s="121"/>
      <c r="X13" s="121"/>
      <c r="Y13" s="121"/>
      <c r="Z13" s="121"/>
      <c r="AA13" s="121"/>
      <c r="AB13" s="121"/>
      <c r="AC13" s="122"/>
    </row>
    <row r="14" spans="2:29" s="8" customFormat="1" ht="17.25" customHeight="1">
      <c r="B14" s="199" t="s">
        <v>39</v>
      </c>
      <c r="C14" s="200"/>
      <c r="D14" s="208" t="s">
        <v>40</v>
      </c>
      <c r="E14" s="209"/>
      <c r="G14" s="210" t="s">
        <v>41</v>
      </c>
      <c r="H14" s="211"/>
      <c r="I14" s="212" t="s">
        <v>73</v>
      </c>
      <c r="J14" s="213"/>
      <c r="K14" s="213"/>
      <c r="L14" s="213"/>
      <c r="M14" s="213"/>
      <c r="N14" s="213"/>
      <c r="O14" s="213"/>
      <c r="P14" s="213"/>
      <c r="Q14" s="213"/>
      <c r="R14" s="209"/>
      <c r="S14" s="3"/>
      <c r="T14" s="120"/>
      <c r="U14" s="121"/>
      <c r="V14" s="121"/>
      <c r="W14" s="121"/>
      <c r="X14" s="121"/>
      <c r="Y14" s="121"/>
      <c r="Z14" s="121"/>
      <c r="AA14" s="121"/>
      <c r="AB14" s="121"/>
      <c r="AC14" s="122"/>
    </row>
    <row r="15" spans="2:29" s="8" customFormat="1" ht="17.25" customHeight="1">
      <c r="B15" s="177" t="s">
        <v>42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9"/>
      <c r="S15" s="3"/>
      <c r="T15" s="120"/>
      <c r="U15" s="121"/>
      <c r="V15" s="121"/>
      <c r="W15" s="121"/>
      <c r="X15" s="121"/>
      <c r="Y15" s="121"/>
      <c r="Z15" s="121"/>
      <c r="AA15" s="121"/>
      <c r="AB15" s="121"/>
      <c r="AC15" s="122"/>
    </row>
    <row r="16" spans="2:29" ht="17.25" customHeight="1">
      <c r="B16" s="180" t="s">
        <v>43</v>
      </c>
      <c r="C16" s="181"/>
      <c r="D16" s="184" t="s">
        <v>44</v>
      </c>
      <c r="E16" s="186" t="s">
        <v>45</v>
      </c>
      <c r="F16" s="188" t="s">
        <v>46</v>
      </c>
      <c r="G16" s="189"/>
      <c r="H16" s="188" t="s">
        <v>47</v>
      </c>
      <c r="I16" s="189"/>
      <c r="J16" s="188" t="s">
        <v>48</v>
      </c>
      <c r="K16" s="192"/>
      <c r="L16" s="193" t="s">
        <v>49</v>
      </c>
      <c r="M16" s="194"/>
      <c r="N16" s="197" t="s">
        <v>50</v>
      </c>
      <c r="O16" s="198"/>
      <c r="P16" s="171" t="s">
        <v>51</v>
      </c>
      <c r="Q16" s="172"/>
      <c r="R16" s="175" t="s">
        <v>52</v>
      </c>
      <c r="S16" s="22"/>
      <c r="T16" s="120"/>
      <c r="U16" s="121"/>
      <c r="V16" s="121"/>
      <c r="W16" s="121"/>
      <c r="X16" s="121"/>
      <c r="Y16" s="121"/>
      <c r="Z16" s="121"/>
      <c r="AA16" s="121"/>
      <c r="AB16" s="121"/>
      <c r="AC16" s="122"/>
    </row>
    <row r="17" spans="2:29" ht="17.25" customHeight="1">
      <c r="B17" s="182"/>
      <c r="C17" s="183"/>
      <c r="D17" s="185"/>
      <c r="E17" s="187"/>
      <c r="F17" s="190"/>
      <c r="G17" s="191"/>
      <c r="H17" s="190"/>
      <c r="I17" s="191"/>
      <c r="J17" s="173"/>
      <c r="K17" s="174"/>
      <c r="L17" s="195"/>
      <c r="M17" s="196"/>
      <c r="N17" s="195"/>
      <c r="O17" s="196"/>
      <c r="P17" s="173"/>
      <c r="Q17" s="174"/>
      <c r="R17" s="176"/>
      <c r="S17" s="24"/>
      <c r="T17" s="120"/>
      <c r="U17" s="121"/>
      <c r="V17" s="121"/>
      <c r="W17" s="121"/>
      <c r="X17" s="121"/>
      <c r="Y17" s="121"/>
      <c r="Z17" s="121"/>
      <c r="AA17" s="121"/>
      <c r="AB17" s="121"/>
      <c r="AC17" s="122"/>
    </row>
    <row r="18" spans="2:29" ht="17.25" customHeight="1">
      <c r="B18" s="169" t="s">
        <v>53</v>
      </c>
      <c r="C18" s="170"/>
      <c r="D18" s="41" t="s">
        <v>156</v>
      </c>
      <c r="E18" s="25"/>
      <c r="F18" s="167"/>
      <c r="G18" s="168"/>
      <c r="H18" s="167"/>
      <c r="I18" s="168"/>
      <c r="J18" s="167"/>
      <c r="K18" s="168"/>
      <c r="L18" s="167"/>
      <c r="M18" s="168"/>
      <c r="N18" s="167"/>
      <c r="O18" s="168"/>
      <c r="P18" s="167"/>
      <c r="Q18" s="168"/>
      <c r="R18" s="25">
        <v>45798</v>
      </c>
      <c r="S18" s="24"/>
      <c r="T18" s="120"/>
      <c r="U18" s="121"/>
      <c r="V18" s="121"/>
      <c r="W18" s="121"/>
      <c r="X18" s="121"/>
      <c r="Y18" s="121"/>
      <c r="Z18" s="121"/>
      <c r="AA18" s="121"/>
      <c r="AB18" s="121"/>
      <c r="AC18" s="122"/>
    </row>
    <row r="19" spans="2:29" ht="17.25" customHeight="1">
      <c r="B19" s="169" t="s">
        <v>54</v>
      </c>
      <c r="C19" s="170"/>
      <c r="D19" s="25"/>
      <c r="E19" s="25"/>
      <c r="F19" s="167"/>
      <c r="G19" s="168"/>
      <c r="H19" s="167"/>
      <c r="I19" s="168"/>
      <c r="J19" s="167"/>
      <c r="K19" s="168"/>
      <c r="L19" s="167"/>
      <c r="M19" s="168"/>
      <c r="N19" s="167"/>
      <c r="O19" s="168"/>
      <c r="P19" s="167"/>
      <c r="Q19" s="168"/>
      <c r="R19" s="25"/>
      <c r="S19" s="26"/>
      <c r="T19" s="120"/>
      <c r="U19" s="121"/>
      <c r="V19" s="121"/>
      <c r="W19" s="121"/>
      <c r="X19" s="121"/>
      <c r="Y19" s="121"/>
      <c r="Z19" s="121"/>
      <c r="AA19" s="121"/>
      <c r="AB19" s="121"/>
      <c r="AC19" s="122"/>
    </row>
    <row r="20" spans="2:29" ht="17.25" customHeight="1">
      <c r="B20" s="27" t="s">
        <v>55</v>
      </c>
      <c r="C20" s="28" t="s">
        <v>56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30"/>
      <c r="S20" s="26"/>
      <c r="T20" s="120"/>
      <c r="U20" s="121"/>
      <c r="V20" s="121"/>
      <c r="W20" s="121"/>
      <c r="X20" s="121"/>
      <c r="Y20" s="121"/>
      <c r="Z20" s="121"/>
      <c r="AA20" s="121"/>
      <c r="AB20" s="121"/>
      <c r="AC20" s="122"/>
    </row>
    <row r="21" spans="2:29" s="31" customFormat="1" ht="17.25" customHeight="1">
      <c r="B21" s="103">
        <v>46004</v>
      </c>
      <c r="C21" s="164" t="s">
        <v>157</v>
      </c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6"/>
      <c r="T21" s="120"/>
      <c r="U21" s="121"/>
      <c r="V21" s="121"/>
      <c r="W21" s="121"/>
      <c r="X21" s="121"/>
      <c r="Y21" s="121"/>
      <c r="Z21" s="121"/>
      <c r="AA21" s="121"/>
      <c r="AB21" s="121"/>
      <c r="AC21" s="122"/>
    </row>
    <row r="22" spans="2:29" ht="17.25" customHeight="1">
      <c r="B22" s="32"/>
      <c r="C22" s="117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9"/>
      <c r="T22" s="120"/>
      <c r="U22" s="121"/>
      <c r="V22" s="121"/>
      <c r="W22" s="121"/>
      <c r="X22" s="121"/>
      <c r="Y22" s="121"/>
      <c r="Z22" s="121"/>
      <c r="AA22" s="121"/>
      <c r="AB22" s="121"/>
      <c r="AC22" s="122"/>
    </row>
    <row r="23" spans="2:29" s="34" customFormat="1" ht="17.25" customHeight="1">
      <c r="B23" s="47">
        <v>46072</v>
      </c>
      <c r="C23" s="117" t="s">
        <v>162</v>
      </c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9"/>
      <c r="S23" s="33"/>
      <c r="T23" s="120"/>
      <c r="U23" s="121"/>
      <c r="V23" s="121"/>
      <c r="W23" s="121"/>
      <c r="X23" s="121"/>
      <c r="Y23" s="121"/>
      <c r="Z23" s="121"/>
      <c r="AA23" s="121"/>
      <c r="AB23" s="121"/>
      <c r="AC23" s="122"/>
    </row>
    <row r="24" spans="2:29" s="34" customFormat="1" ht="17.25" customHeight="1">
      <c r="B24" s="32"/>
      <c r="C24" s="117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9"/>
      <c r="S24" s="35"/>
      <c r="T24" s="120"/>
      <c r="U24" s="121"/>
      <c r="V24" s="121"/>
      <c r="W24" s="121"/>
      <c r="X24" s="121"/>
      <c r="Y24" s="121"/>
      <c r="Z24" s="121"/>
      <c r="AA24" s="121"/>
      <c r="AB24" s="121"/>
      <c r="AC24" s="122"/>
    </row>
    <row r="25" spans="2:29" s="34" customFormat="1" ht="17.25" customHeight="1">
      <c r="B25" s="32"/>
      <c r="C25" s="117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9"/>
      <c r="S25" s="35"/>
      <c r="T25" s="120"/>
      <c r="U25" s="121"/>
      <c r="V25" s="121"/>
      <c r="W25" s="121"/>
      <c r="X25" s="121"/>
      <c r="Y25" s="121"/>
      <c r="Z25" s="121"/>
      <c r="AA25" s="121"/>
      <c r="AB25" s="121"/>
      <c r="AC25" s="122"/>
    </row>
    <row r="26" spans="2:29" s="34" customFormat="1" ht="17.25" customHeight="1">
      <c r="B26" s="32"/>
      <c r="C26" s="161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3"/>
      <c r="S26" s="35"/>
      <c r="T26" s="120"/>
      <c r="U26" s="121"/>
      <c r="V26" s="121"/>
      <c r="W26" s="121"/>
      <c r="X26" s="121"/>
      <c r="Y26" s="121"/>
      <c r="Z26" s="121"/>
      <c r="AA26" s="121"/>
      <c r="AB26" s="121"/>
      <c r="AC26" s="122"/>
    </row>
    <row r="27" spans="2:29" s="34" customFormat="1" ht="17.25" customHeight="1">
      <c r="B27" s="32"/>
      <c r="C27" s="161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3"/>
      <c r="S27" s="35"/>
      <c r="T27" s="120"/>
      <c r="U27" s="121"/>
      <c r="V27" s="121"/>
      <c r="W27" s="121"/>
      <c r="X27" s="121"/>
      <c r="Y27" s="121"/>
      <c r="Z27" s="121"/>
      <c r="AA27" s="121"/>
      <c r="AB27" s="121"/>
      <c r="AC27" s="122"/>
    </row>
    <row r="28" spans="2:29" s="34" customFormat="1" ht="17.25" customHeight="1">
      <c r="B28" s="32"/>
      <c r="C28" s="95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7"/>
      <c r="S28" s="35"/>
      <c r="T28" s="120"/>
      <c r="U28" s="121"/>
      <c r="V28" s="121"/>
      <c r="W28" s="121"/>
      <c r="X28" s="121"/>
      <c r="Y28" s="121"/>
      <c r="Z28" s="121"/>
      <c r="AA28" s="121"/>
      <c r="AB28" s="121"/>
      <c r="AC28" s="122"/>
    </row>
    <row r="29" spans="2:29" s="34" customFormat="1" ht="17.25" customHeight="1">
      <c r="B29" s="98"/>
      <c r="C29" s="95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7"/>
      <c r="S29" s="35"/>
      <c r="T29" s="120"/>
      <c r="U29" s="121"/>
      <c r="V29" s="121"/>
      <c r="W29" s="121"/>
      <c r="X29" s="121"/>
      <c r="Y29" s="121"/>
      <c r="Z29" s="121"/>
      <c r="AA29" s="121"/>
      <c r="AB29" s="121"/>
      <c r="AC29" s="122"/>
    </row>
    <row r="30" spans="2:29" s="34" customFormat="1" ht="17.25" customHeight="1">
      <c r="B30" s="32"/>
      <c r="C30" s="95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7"/>
      <c r="S30" s="35"/>
      <c r="T30" s="120"/>
      <c r="U30" s="121"/>
      <c r="V30" s="121"/>
      <c r="W30" s="121"/>
      <c r="X30" s="121"/>
      <c r="Y30" s="121"/>
      <c r="Z30" s="121"/>
      <c r="AA30" s="121"/>
      <c r="AB30" s="121"/>
      <c r="AC30" s="122"/>
    </row>
    <row r="31" spans="2:29" s="34" customFormat="1" ht="17.25" customHeight="1">
      <c r="B31" s="32"/>
      <c r="C31" s="99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1"/>
      <c r="S31" s="35"/>
      <c r="T31" s="120"/>
      <c r="U31" s="121"/>
      <c r="V31" s="121"/>
      <c r="W31" s="121"/>
      <c r="X31" s="121"/>
      <c r="Y31" s="121"/>
      <c r="Z31" s="121"/>
      <c r="AA31" s="121"/>
      <c r="AB31" s="121"/>
      <c r="AC31" s="122"/>
    </row>
    <row r="32" spans="2:29" s="34" customFormat="1" ht="17.25" customHeight="1">
      <c r="B32" s="32"/>
      <c r="C32" s="158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60"/>
      <c r="S32" s="35"/>
      <c r="T32" s="120"/>
      <c r="U32" s="121"/>
      <c r="V32" s="121"/>
      <c r="W32" s="121"/>
      <c r="X32" s="121"/>
      <c r="Y32" s="121"/>
      <c r="Z32" s="121"/>
      <c r="AA32" s="121"/>
      <c r="AB32" s="121"/>
      <c r="AC32" s="122"/>
    </row>
    <row r="33" spans="2:29" s="34" customFormat="1" ht="17.25" customHeight="1">
      <c r="B33" s="32"/>
      <c r="C33" s="117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9"/>
      <c r="S33" s="35"/>
      <c r="T33" s="120"/>
      <c r="U33" s="121"/>
      <c r="V33" s="121"/>
      <c r="W33" s="121"/>
      <c r="X33" s="121"/>
      <c r="Y33" s="121"/>
      <c r="Z33" s="121"/>
      <c r="AA33" s="121"/>
      <c r="AB33" s="121"/>
      <c r="AC33" s="122"/>
    </row>
    <row r="34" spans="2:29" s="34" customFormat="1" ht="17.25" customHeight="1">
      <c r="B34" s="32"/>
      <c r="C34" s="155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7"/>
      <c r="S34" s="35"/>
      <c r="T34" s="120"/>
      <c r="U34" s="121"/>
      <c r="V34" s="121"/>
      <c r="W34" s="121"/>
      <c r="X34" s="121"/>
      <c r="Y34" s="121"/>
      <c r="Z34" s="121"/>
      <c r="AA34" s="121"/>
      <c r="AB34" s="121"/>
      <c r="AC34" s="122"/>
    </row>
    <row r="35" spans="2:29" s="34" customFormat="1" ht="17.25" customHeight="1">
      <c r="B35" s="32"/>
      <c r="C35" s="155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7"/>
      <c r="S35" s="35"/>
      <c r="T35" s="120"/>
      <c r="U35" s="121"/>
      <c r="V35" s="121"/>
      <c r="W35" s="121"/>
      <c r="X35" s="121"/>
      <c r="Y35" s="121"/>
      <c r="Z35" s="121"/>
      <c r="AA35" s="121"/>
      <c r="AB35" s="121"/>
      <c r="AC35" s="122"/>
    </row>
    <row r="36" spans="2:29" s="34" customFormat="1" ht="17.25" customHeight="1">
      <c r="B36" s="32"/>
      <c r="C36" s="139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1"/>
      <c r="S36" s="35"/>
      <c r="T36" s="120"/>
      <c r="U36" s="121"/>
      <c r="V36" s="121"/>
      <c r="W36" s="121"/>
      <c r="X36" s="121"/>
      <c r="Y36" s="121"/>
      <c r="Z36" s="121"/>
      <c r="AA36" s="121"/>
      <c r="AB36" s="121"/>
      <c r="AC36" s="122"/>
    </row>
    <row r="37" spans="2:29" s="34" customFormat="1" ht="17.25" customHeight="1">
      <c r="B37" s="32"/>
      <c r="C37" s="139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1"/>
      <c r="S37" s="35"/>
      <c r="T37" s="120"/>
      <c r="U37" s="121"/>
      <c r="V37" s="121"/>
      <c r="W37" s="121"/>
      <c r="X37" s="121"/>
      <c r="Y37" s="121"/>
      <c r="Z37" s="121"/>
      <c r="AA37" s="121"/>
      <c r="AB37" s="121"/>
      <c r="AC37" s="122"/>
    </row>
    <row r="38" spans="2:29" s="34" customFormat="1" ht="17.25" customHeight="1">
      <c r="B38" s="32"/>
      <c r="C38" s="139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1"/>
      <c r="S38" s="35"/>
      <c r="T38" s="120"/>
      <c r="U38" s="121"/>
      <c r="V38" s="121"/>
      <c r="W38" s="121"/>
      <c r="X38" s="121"/>
      <c r="Y38" s="121"/>
      <c r="Z38" s="121"/>
      <c r="AA38" s="121"/>
      <c r="AB38" s="121"/>
      <c r="AC38" s="122"/>
    </row>
    <row r="39" spans="2:29" s="34" customFormat="1" ht="17.25" customHeight="1">
      <c r="B39" s="32"/>
      <c r="C39" s="152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4"/>
      <c r="S39" s="35"/>
      <c r="T39" s="120"/>
      <c r="U39" s="121"/>
      <c r="V39" s="121"/>
      <c r="W39" s="121"/>
      <c r="X39" s="121"/>
      <c r="Y39" s="121"/>
      <c r="Z39" s="121"/>
      <c r="AA39" s="121"/>
      <c r="AB39" s="121"/>
      <c r="AC39" s="122"/>
    </row>
    <row r="40" spans="2:29" s="34" customFormat="1" ht="17.25" customHeight="1">
      <c r="B40" s="32"/>
      <c r="C40" s="152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4"/>
      <c r="S40" s="35"/>
      <c r="T40" s="120"/>
      <c r="U40" s="121"/>
      <c r="V40" s="121"/>
      <c r="W40" s="121"/>
      <c r="X40" s="121"/>
      <c r="Y40" s="121"/>
      <c r="Z40" s="121"/>
      <c r="AA40" s="121"/>
      <c r="AB40" s="121"/>
      <c r="AC40" s="122"/>
    </row>
    <row r="41" spans="2:29" s="34" customFormat="1" ht="17.25" customHeight="1">
      <c r="B41" s="32"/>
      <c r="C41" s="151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50"/>
      <c r="S41" s="35"/>
      <c r="T41" s="120"/>
      <c r="U41" s="121"/>
      <c r="V41" s="121"/>
      <c r="W41" s="121"/>
      <c r="X41" s="121"/>
      <c r="Y41" s="121"/>
      <c r="Z41" s="121"/>
      <c r="AA41" s="121"/>
      <c r="AB41" s="121"/>
      <c r="AC41" s="122"/>
    </row>
    <row r="42" spans="2:29" s="34" customFormat="1" ht="17.25" customHeight="1">
      <c r="B42" s="32"/>
      <c r="C42" s="151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50"/>
      <c r="S42" s="35"/>
      <c r="T42" s="120"/>
      <c r="U42" s="121"/>
      <c r="V42" s="121"/>
      <c r="W42" s="121"/>
      <c r="X42" s="121"/>
      <c r="Y42" s="121"/>
      <c r="Z42" s="121"/>
      <c r="AA42" s="121"/>
      <c r="AB42" s="121"/>
      <c r="AC42" s="122"/>
    </row>
    <row r="43" spans="2:29" s="34" customFormat="1" ht="17.25" customHeight="1">
      <c r="B43" s="32"/>
      <c r="C43" s="151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50"/>
      <c r="S43" s="35"/>
      <c r="T43" s="120"/>
      <c r="U43" s="121"/>
      <c r="V43" s="121"/>
      <c r="W43" s="121"/>
      <c r="X43" s="121"/>
      <c r="Y43" s="121"/>
      <c r="Z43" s="121"/>
      <c r="AA43" s="121"/>
      <c r="AB43" s="121"/>
      <c r="AC43" s="122"/>
    </row>
    <row r="44" spans="2:29" s="34" customFormat="1" ht="17.25" customHeight="1">
      <c r="B44" s="32"/>
      <c r="C44" s="151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50"/>
      <c r="S44" s="35"/>
      <c r="T44" s="120"/>
      <c r="U44" s="121"/>
      <c r="V44" s="121"/>
      <c r="W44" s="121"/>
      <c r="X44" s="121"/>
      <c r="Y44" s="121"/>
      <c r="Z44" s="121"/>
      <c r="AA44" s="121"/>
      <c r="AB44" s="121"/>
      <c r="AC44" s="122"/>
    </row>
    <row r="45" spans="2:29" s="34" customFormat="1" ht="17.25" customHeight="1">
      <c r="B45" s="32"/>
      <c r="C45" s="148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50"/>
      <c r="S45" s="35"/>
      <c r="T45" s="120"/>
      <c r="U45" s="121"/>
      <c r="V45" s="121"/>
      <c r="W45" s="121"/>
      <c r="X45" s="121"/>
      <c r="Y45" s="121"/>
      <c r="Z45" s="121"/>
      <c r="AA45" s="121"/>
      <c r="AB45" s="121"/>
      <c r="AC45" s="122"/>
    </row>
    <row r="46" spans="2:29" s="34" customFormat="1" ht="17.25" customHeight="1">
      <c r="B46" s="32"/>
      <c r="C46" s="139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1"/>
      <c r="S46" s="35"/>
      <c r="T46" s="120"/>
      <c r="U46" s="121"/>
      <c r="V46" s="121"/>
      <c r="W46" s="121"/>
      <c r="X46" s="121"/>
      <c r="Y46" s="121"/>
      <c r="Z46" s="121"/>
      <c r="AA46" s="121"/>
      <c r="AB46" s="121"/>
      <c r="AC46" s="122"/>
    </row>
    <row r="47" spans="2:29" s="34" customFormat="1" ht="17.25" customHeight="1">
      <c r="B47" s="32"/>
      <c r="C47" s="139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1"/>
      <c r="S47" s="35"/>
      <c r="T47" s="120"/>
      <c r="U47" s="121"/>
      <c r="V47" s="121"/>
      <c r="W47" s="121"/>
      <c r="X47" s="121"/>
      <c r="Y47" s="121"/>
      <c r="Z47" s="121"/>
      <c r="AA47" s="121"/>
      <c r="AB47" s="121"/>
      <c r="AC47" s="122"/>
    </row>
    <row r="48" spans="2:29" s="34" customFormat="1" ht="17.25" customHeight="1">
      <c r="B48" s="32"/>
      <c r="C48" s="139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1"/>
      <c r="S48" s="35"/>
      <c r="T48" s="120"/>
      <c r="U48" s="121"/>
      <c r="V48" s="121"/>
      <c r="W48" s="121"/>
      <c r="X48" s="121"/>
      <c r="Y48" s="121"/>
      <c r="Z48" s="121"/>
      <c r="AA48" s="121"/>
      <c r="AB48" s="121"/>
      <c r="AC48" s="122"/>
    </row>
    <row r="49" spans="2:29" s="34" customFormat="1" ht="17.25" customHeight="1">
      <c r="B49" s="32"/>
      <c r="C49" s="142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4"/>
      <c r="S49" s="35"/>
      <c r="T49" s="120"/>
      <c r="U49" s="121"/>
      <c r="V49" s="121"/>
      <c r="W49" s="121"/>
      <c r="X49" s="121"/>
      <c r="Y49" s="121"/>
      <c r="Z49" s="121"/>
      <c r="AA49" s="121"/>
      <c r="AB49" s="121"/>
      <c r="AC49" s="122"/>
    </row>
    <row r="50" spans="2:29" s="34" customFormat="1" ht="17.25" customHeight="1">
      <c r="B50" s="36"/>
      <c r="C50" s="145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7"/>
      <c r="S50" s="35"/>
      <c r="T50" s="120"/>
      <c r="U50" s="121"/>
      <c r="V50" s="121"/>
      <c r="W50" s="121"/>
      <c r="X50" s="121"/>
      <c r="Y50" s="121"/>
      <c r="Z50" s="121"/>
      <c r="AA50" s="121"/>
      <c r="AB50" s="121"/>
      <c r="AC50" s="122"/>
    </row>
    <row r="51" spans="2:29" ht="9" customHeight="1">
      <c r="B51" s="128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</row>
    <row r="52" spans="2:29" ht="12" customHeight="1">
      <c r="B52" s="37"/>
      <c r="C52" s="130" t="s">
        <v>57</v>
      </c>
      <c r="D52" s="38" t="s">
        <v>58</v>
      </c>
      <c r="E52" s="38" t="s">
        <v>59</v>
      </c>
      <c r="F52" s="132" t="s">
        <v>60</v>
      </c>
      <c r="G52" s="133"/>
      <c r="H52" s="132" t="s">
        <v>61</v>
      </c>
      <c r="I52" s="133"/>
      <c r="J52" s="134" t="s">
        <v>62</v>
      </c>
      <c r="K52" s="135"/>
      <c r="L52" s="134" t="s">
        <v>63</v>
      </c>
      <c r="M52" s="135"/>
      <c r="N52" s="136"/>
      <c r="O52" s="137"/>
      <c r="P52" s="138"/>
      <c r="Q52" s="137"/>
      <c r="R52" s="38" t="s">
        <v>64</v>
      </c>
      <c r="S52" s="39"/>
      <c r="T52" s="120"/>
      <c r="U52" s="121"/>
      <c r="V52" s="121"/>
      <c r="W52" s="121"/>
      <c r="X52" s="121"/>
      <c r="Y52" s="121"/>
      <c r="Z52" s="121"/>
      <c r="AA52" s="121"/>
      <c r="AB52" s="121"/>
      <c r="AC52" s="122"/>
    </row>
    <row r="53" spans="2:29" ht="52.5" customHeight="1">
      <c r="B53" s="40"/>
      <c r="C53" s="131"/>
      <c r="D53" s="41"/>
      <c r="E53" s="41"/>
      <c r="F53" s="123"/>
      <c r="G53" s="123"/>
      <c r="H53" s="123" t="s">
        <v>65</v>
      </c>
      <c r="I53" s="123"/>
      <c r="J53" s="123" t="s">
        <v>65</v>
      </c>
      <c r="K53" s="123"/>
      <c r="L53" s="124" t="s">
        <v>158</v>
      </c>
      <c r="M53" s="123"/>
      <c r="N53" s="125"/>
      <c r="O53" s="126"/>
      <c r="P53" s="127"/>
      <c r="Q53" s="127"/>
      <c r="R53" s="25"/>
      <c r="S53" s="39"/>
      <c r="T53" s="120"/>
      <c r="U53" s="121"/>
      <c r="V53" s="121"/>
      <c r="W53" s="121"/>
      <c r="X53" s="121"/>
      <c r="Y53" s="121"/>
      <c r="Z53" s="121"/>
      <c r="AA53" s="121"/>
      <c r="AB53" s="121"/>
      <c r="AC53" s="122"/>
    </row>
    <row r="54" spans="2:29" ht="24" customHeight="1">
      <c r="B54" s="115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</row>
  </sheetData>
  <mergeCells count="165">
    <mergeCell ref="B1:E1"/>
    <mergeCell ref="G1:H1"/>
    <mergeCell ref="O1:P1"/>
    <mergeCell ref="Q1:R1"/>
    <mergeCell ref="C3:E3"/>
    <mergeCell ref="F3:G3"/>
    <mergeCell ref="H3:K3"/>
    <mergeCell ref="L3:M3"/>
    <mergeCell ref="N3:R3"/>
    <mergeCell ref="T3:AC3"/>
    <mergeCell ref="B4:C4"/>
    <mergeCell ref="D4:E4"/>
    <mergeCell ref="G4:H4"/>
    <mergeCell ref="I4:R4"/>
    <mergeCell ref="B5:C5"/>
    <mergeCell ref="D5:E5"/>
    <mergeCell ref="G5:H5"/>
    <mergeCell ref="I5:R5"/>
    <mergeCell ref="B6:C6"/>
    <mergeCell ref="D6:E6"/>
    <mergeCell ref="G6:H6"/>
    <mergeCell ref="I6:R6"/>
    <mergeCell ref="T6:AC6"/>
    <mergeCell ref="B7:C7"/>
    <mergeCell ref="G7:H7"/>
    <mergeCell ref="I7:R7"/>
    <mergeCell ref="T7:AC7"/>
    <mergeCell ref="B8:C8"/>
    <mergeCell ref="D8:E8"/>
    <mergeCell ref="G8:H8"/>
    <mergeCell ref="I8:R8"/>
    <mergeCell ref="T8:AC8"/>
    <mergeCell ref="B9:C9"/>
    <mergeCell ref="D9:E9"/>
    <mergeCell ref="G9:H9"/>
    <mergeCell ref="I9:R9"/>
    <mergeCell ref="T9:AC9"/>
    <mergeCell ref="B12:C12"/>
    <mergeCell ref="G12:H12"/>
    <mergeCell ref="I12:L12"/>
    <mergeCell ref="M12:N12"/>
    <mergeCell ref="O12:R12"/>
    <mergeCell ref="T12:AC12"/>
    <mergeCell ref="B10:C10"/>
    <mergeCell ref="G10:H10"/>
    <mergeCell ref="I10:R10"/>
    <mergeCell ref="T10:AC10"/>
    <mergeCell ref="B11:C11"/>
    <mergeCell ref="G11:H11"/>
    <mergeCell ref="I11:R11"/>
    <mergeCell ref="T11:AC11"/>
    <mergeCell ref="B13:C13"/>
    <mergeCell ref="D13:E13"/>
    <mergeCell ref="G13:H13"/>
    <mergeCell ref="I13:R13"/>
    <mergeCell ref="T13:AC13"/>
    <mergeCell ref="B14:C14"/>
    <mergeCell ref="D14:E14"/>
    <mergeCell ref="G14:H14"/>
    <mergeCell ref="I14:R14"/>
    <mergeCell ref="T14:AC14"/>
    <mergeCell ref="B15:R15"/>
    <mergeCell ref="T15:AC15"/>
    <mergeCell ref="B16:C17"/>
    <mergeCell ref="D16:D17"/>
    <mergeCell ref="E16:E17"/>
    <mergeCell ref="F16:G17"/>
    <mergeCell ref="H16:I17"/>
    <mergeCell ref="J16:K17"/>
    <mergeCell ref="L16:M17"/>
    <mergeCell ref="N16:O17"/>
    <mergeCell ref="P16:Q17"/>
    <mergeCell ref="R16:R17"/>
    <mergeCell ref="T16:AC16"/>
    <mergeCell ref="T17:AC17"/>
    <mergeCell ref="B18:C18"/>
    <mergeCell ref="F18:G18"/>
    <mergeCell ref="H18:I18"/>
    <mergeCell ref="J18:K18"/>
    <mergeCell ref="L18:M18"/>
    <mergeCell ref="N18:O18"/>
    <mergeCell ref="P18:Q18"/>
    <mergeCell ref="T18:AC18"/>
    <mergeCell ref="B19:C19"/>
    <mergeCell ref="F19:G19"/>
    <mergeCell ref="H19:I19"/>
    <mergeCell ref="J19:K19"/>
    <mergeCell ref="L19:M19"/>
    <mergeCell ref="N19:O19"/>
    <mergeCell ref="P19:Q19"/>
    <mergeCell ref="T19:AC19"/>
    <mergeCell ref="T24:AC24"/>
    <mergeCell ref="T25:AC25"/>
    <mergeCell ref="C26:R26"/>
    <mergeCell ref="T26:AC26"/>
    <mergeCell ref="C27:R27"/>
    <mergeCell ref="T27:AC27"/>
    <mergeCell ref="T20:AC20"/>
    <mergeCell ref="C21:R21"/>
    <mergeCell ref="T21:AC21"/>
    <mergeCell ref="C22:R22"/>
    <mergeCell ref="T22:AC22"/>
    <mergeCell ref="T23:AC23"/>
    <mergeCell ref="C33:R33"/>
    <mergeCell ref="T33:AC33"/>
    <mergeCell ref="C34:R34"/>
    <mergeCell ref="T34:AC34"/>
    <mergeCell ref="C35:R35"/>
    <mergeCell ref="T35:AC35"/>
    <mergeCell ref="T28:AC28"/>
    <mergeCell ref="T29:AC29"/>
    <mergeCell ref="T30:AC30"/>
    <mergeCell ref="T31:AC31"/>
    <mergeCell ref="C32:R32"/>
    <mergeCell ref="T32:AC32"/>
    <mergeCell ref="C39:R39"/>
    <mergeCell ref="T39:AC39"/>
    <mergeCell ref="C40:R40"/>
    <mergeCell ref="T40:AC40"/>
    <mergeCell ref="C41:R41"/>
    <mergeCell ref="T41:AC41"/>
    <mergeCell ref="C36:R36"/>
    <mergeCell ref="T36:AC36"/>
    <mergeCell ref="C37:R37"/>
    <mergeCell ref="T37:AC37"/>
    <mergeCell ref="C38:R38"/>
    <mergeCell ref="T38:AC38"/>
    <mergeCell ref="C50:R50"/>
    <mergeCell ref="T50:AC50"/>
    <mergeCell ref="C45:R45"/>
    <mergeCell ref="T45:AC45"/>
    <mergeCell ref="C46:R46"/>
    <mergeCell ref="T46:AC46"/>
    <mergeCell ref="C47:R47"/>
    <mergeCell ref="T47:AC47"/>
    <mergeCell ref="C42:R42"/>
    <mergeCell ref="T42:AC42"/>
    <mergeCell ref="C43:R43"/>
    <mergeCell ref="T43:AC43"/>
    <mergeCell ref="C44:R44"/>
    <mergeCell ref="T44:AC44"/>
    <mergeCell ref="B54:R54"/>
    <mergeCell ref="C23:R23"/>
    <mergeCell ref="C24:R24"/>
    <mergeCell ref="C25:R25"/>
    <mergeCell ref="T52:AC52"/>
    <mergeCell ref="F53:G53"/>
    <mergeCell ref="H53:I53"/>
    <mergeCell ref="J53:K53"/>
    <mergeCell ref="L53:M53"/>
    <mergeCell ref="N53:O53"/>
    <mergeCell ref="P53:Q53"/>
    <mergeCell ref="T53:AC53"/>
    <mergeCell ref="B51:R51"/>
    <mergeCell ref="C52:C53"/>
    <mergeCell ref="F52:G52"/>
    <mergeCell ref="H52:I52"/>
    <mergeCell ref="J52:K52"/>
    <mergeCell ref="L52:M52"/>
    <mergeCell ref="N52:O52"/>
    <mergeCell ref="P52:Q52"/>
    <mergeCell ref="C48:R48"/>
    <mergeCell ref="T48:AC48"/>
    <mergeCell ref="C49:R49"/>
    <mergeCell ref="T49:AC49"/>
  </mergeCells>
  <phoneticPr fontId="3"/>
  <printOptions horizontalCentered="1" verticalCentered="1"/>
  <pageMargins left="0.19685039370078741" right="0.19685039370078741" top="0.19685039370078741" bottom="0.19685039370078741" header="0.11811023622047245" footer="0.19685039370078741"/>
  <pageSetup paperSize="9" scale="91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4D6B-47EB-44FA-BAD1-5AA4F9B994DA}">
  <sheetPr>
    <tabColor rgb="FFFFFF00"/>
  </sheetPr>
  <dimension ref="A1:I12"/>
  <sheetViews>
    <sheetView zoomScale="89" zoomScaleNormal="89" workbookViewId="0">
      <selection activeCell="L12" sqref="L12"/>
    </sheetView>
  </sheetViews>
  <sheetFormatPr defaultRowHeight="18.75"/>
  <cols>
    <col min="1" max="3" width="9" style="46"/>
    <col min="4" max="4" width="5.625" style="46" customWidth="1"/>
    <col min="5" max="6" width="9" style="46"/>
    <col min="7" max="7" width="10.625" style="46" customWidth="1"/>
    <col min="8" max="16384" width="9" style="46"/>
  </cols>
  <sheetData>
    <row r="1" spans="1:9" ht="19.5" thickBot="1">
      <c r="C1" s="256" t="s">
        <v>106</v>
      </c>
      <c r="D1" s="257"/>
      <c r="E1" s="257"/>
      <c r="F1" s="257"/>
      <c r="G1" s="258"/>
    </row>
    <row r="2" spans="1:9">
      <c r="A2" s="48"/>
      <c r="B2" s="49"/>
      <c r="C2" s="49"/>
      <c r="D2" s="49"/>
      <c r="E2" s="49"/>
      <c r="F2" s="49"/>
      <c r="G2" s="49"/>
      <c r="H2" s="49"/>
      <c r="I2" s="50"/>
    </row>
    <row r="3" spans="1:9">
      <c r="A3" s="51"/>
      <c r="I3" s="52"/>
    </row>
    <row r="4" spans="1:9">
      <c r="A4" s="51"/>
      <c r="I4" s="52"/>
    </row>
    <row r="5" spans="1:9">
      <c r="A5" s="51"/>
      <c r="I5" s="52"/>
    </row>
    <row r="6" spans="1:9">
      <c r="A6" s="51"/>
      <c r="I6" s="52"/>
    </row>
    <row r="7" spans="1:9">
      <c r="A7" s="51"/>
      <c r="I7" s="52"/>
    </row>
    <row r="8" spans="1:9">
      <c r="A8" s="51"/>
      <c r="I8" s="52"/>
    </row>
    <row r="9" spans="1:9">
      <c r="A9" s="51"/>
      <c r="I9" s="52"/>
    </row>
    <row r="10" spans="1:9">
      <c r="A10" s="51"/>
      <c r="I10" s="52"/>
    </row>
    <row r="11" spans="1:9">
      <c r="A11" s="51"/>
      <c r="I11" s="52"/>
    </row>
    <row r="12" spans="1:9" ht="19.5" thickBot="1">
      <c r="A12" s="53"/>
      <c r="B12" s="102" t="s">
        <v>159</v>
      </c>
      <c r="C12" s="54"/>
      <c r="D12" s="102"/>
      <c r="E12" s="102" t="s">
        <v>160</v>
      </c>
      <c r="F12" s="54"/>
      <c r="G12" s="54"/>
      <c r="H12" s="54"/>
      <c r="I12" s="55"/>
    </row>
  </sheetData>
  <mergeCells count="1">
    <mergeCell ref="C1:G1"/>
  </mergeCells>
  <phoneticPr fontId="3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D12C-5B68-4D9F-8988-44FE910E4155}">
  <sheetPr>
    <tabColor indexed="41"/>
  </sheetPr>
  <dimension ref="A1:AS559"/>
  <sheetViews>
    <sheetView showGridLines="0" showZeros="0" view="pageBreakPreview" zoomScaleNormal="100" zoomScaleSheetLayoutView="100" workbookViewId="0">
      <selection activeCell="E20" sqref="E20"/>
    </sheetView>
  </sheetViews>
  <sheetFormatPr defaultRowHeight="13.5"/>
  <cols>
    <col min="1" max="5" width="1.75" style="56" customWidth="1"/>
    <col min="6" max="6" width="2.125" style="56" customWidth="1"/>
    <col min="7" max="44" width="1.75" style="56" customWidth="1"/>
    <col min="45" max="188" width="2.125" style="56" customWidth="1"/>
    <col min="189" max="16384" width="9" style="56"/>
  </cols>
  <sheetData>
    <row r="1" spans="1:44" ht="20.25" customHeight="1" thickBot="1">
      <c r="A1" s="104" t="s">
        <v>161</v>
      </c>
      <c r="B1" s="105"/>
      <c r="C1" s="105"/>
      <c r="D1" s="105"/>
      <c r="E1" s="105"/>
      <c r="F1" s="105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8"/>
    </row>
    <row r="2" spans="1:44" ht="6.6" customHeight="1">
      <c r="A2" s="60"/>
      <c r="AG2" s="59"/>
      <c r="AH2" s="59"/>
      <c r="AI2" s="59"/>
      <c r="AJ2" s="59"/>
      <c r="AK2" s="59"/>
      <c r="AL2" s="59"/>
      <c r="AM2" s="58"/>
      <c r="AN2" s="58"/>
      <c r="AO2" s="58"/>
    </row>
    <row r="3" spans="1:44" ht="6.6" customHeight="1">
      <c r="A3" s="60"/>
      <c r="AH3" s="58"/>
      <c r="AI3" s="58"/>
      <c r="AJ3" s="58"/>
      <c r="AK3" s="58"/>
      <c r="AL3" s="58"/>
      <c r="AM3" s="58"/>
      <c r="AN3" s="58"/>
      <c r="AO3" s="58"/>
    </row>
    <row r="4" spans="1:44" ht="6.6" customHeight="1">
      <c r="A4" s="62"/>
      <c r="B4" s="63"/>
      <c r="C4" s="63"/>
      <c r="D4" s="63"/>
      <c r="E4" s="63"/>
      <c r="AH4" s="58"/>
      <c r="AI4" s="58"/>
      <c r="AJ4" s="58"/>
      <c r="AK4" s="58"/>
      <c r="AL4" s="58"/>
      <c r="AM4" s="58"/>
      <c r="AN4" s="58"/>
      <c r="AO4" s="58"/>
    </row>
    <row r="5" spans="1:44" ht="6.6" customHeight="1">
      <c r="A5" s="62"/>
      <c r="B5" s="63"/>
      <c r="C5" s="63"/>
      <c r="D5" s="63"/>
      <c r="E5" s="63"/>
    </row>
    <row r="6" spans="1:44" ht="6.6" customHeight="1">
      <c r="A6" s="64"/>
      <c r="B6" s="65"/>
      <c r="C6" s="65"/>
      <c r="D6" s="65"/>
      <c r="E6" s="65"/>
    </row>
    <row r="7" spans="1:44" ht="6.6" customHeight="1">
      <c r="A7" s="64"/>
      <c r="B7" s="65"/>
      <c r="C7" s="65"/>
      <c r="D7" s="65"/>
      <c r="E7" s="65"/>
    </row>
    <row r="8" spans="1:44" ht="6.6" customHeight="1">
      <c r="A8" s="60"/>
    </row>
    <row r="9" spans="1:44" ht="6.6" customHeight="1">
      <c r="A9" s="60"/>
    </row>
    <row r="10" spans="1:44" ht="6.6" customHeight="1">
      <c r="A10" s="60"/>
      <c r="AH10" s="61"/>
      <c r="AI10" s="61"/>
      <c r="AJ10" s="61"/>
    </row>
    <row r="11" spans="1:44" ht="6.6" customHeight="1">
      <c r="A11" s="60"/>
      <c r="AH11" s="61"/>
      <c r="AI11" s="61"/>
      <c r="AJ11" s="61"/>
    </row>
    <row r="12" spans="1:44" ht="6.6" customHeight="1">
      <c r="A12" s="60"/>
      <c r="AP12" s="58"/>
      <c r="AQ12" s="58"/>
      <c r="AR12" s="58"/>
    </row>
    <row r="13" spans="1:44" ht="6.6" customHeight="1">
      <c r="A13" s="60"/>
      <c r="AP13" s="58"/>
      <c r="AQ13" s="58"/>
      <c r="AR13" s="58"/>
    </row>
    <row r="14" spans="1:44" ht="6.6" customHeight="1">
      <c r="A14" s="60"/>
      <c r="AP14" s="58"/>
      <c r="AQ14" s="58"/>
      <c r="AR14" s="58"/>
    </row>
    <row r="15" spans="1:44" ht="6.6" customHeight="1">
      <c r="A15" s="60"/>
      <c r="AP15" s="58"/>
      <c r="AQ15" s="58"/>
      <c r="AR15" s="58"/>
    </row>
    <row r="16" spans="1:44" ht="6.6" customHeight="1">
      <c r="A16" s="60"/>
      <c r="AP16" s="58"/>
      <c r="AQ16" s="58"/>
      <c r="AR16" s="58"/>
    </row>
    <row r="17" spans="1:44" ht="6.6" customHeight="1">
      <c r="A17" s="62"/>
      <c r="B17" s="63"/>
      <c r="C17" s="63"/>
      <c r="D17" s="63"/>
      <c r="E17" s="63"/>
      <c r="AP17" s="58"/>
      <c r="AQ17" s="58"/>
      <c r="AR17" s="58"/>
    </row>
    <row r="18" spans="1:44" ht="6.6" customHeight="1">
      <c r="A18" s="62"/>
      <c r="B18" s="63"/>
      <c r="C18" s="63"/>
      <c r="D18" s="63"/>
      <c r="E18" s="63"/>
      <c r="AP18" s="58"/>
      <c r="AQ18" s="58"/>
      <c r="AR18" s="58"/>
    </row>
    <row r="19" spans="1:44" ht="6.6" customHeight="1">
      <c r="A19" s="64"/>
      <c r="B19" s="65"/>
      <c r="C19" s="65"/>
      <c r="D19" s="65"/>
      <c r="E19" s="65"/>
      <c r="AP19" s="58"/>
      <c r="AQ19" s="58"/>
      <c r="AR19" s="58"/>
    </row>
    <row r="20" spans="1:44" ht="6.6" customHeight="1">
      <c r="A20" s="64"/>
      <c r="B20" s="65"/>
      <c r="C20" s="65"/>
      <c r="D20" s="65"/>
      <c r="E20" s="65"/>
      <c r="AP20" s="58"/>
      <c r="AQ20" s="58"/>
      <c r="AR20" s="58"/>
    </row>
    <row r="21" spans="1:44" ht="6.6" customHeight="1">
      <c r="A21" s="60"/>
      <c r="AP21" s="58"/>
      <c r="AQ21" s="58"/>
      <c r="AR21" s="58"/>
    </row>
    <row r="22" spans="1:44" ht="6.6" customHeight="1">
      <c r="A22" s="60"/>
      <c r="AP22" s="58"/>
      <c r="AQ22" s="58"/>
      <c r="AR22" s="58"/>
    </row>
    <row r="23" spans="1:44" ht="6.6" customHeight="1">
      <c r="A23" s="60"/>
      <c r="AP23" s="58"/>
      <c r="AQ23" s="58"/>
      <c r="AR23" s="58"/>
    </row>
    <row r="24" spans="1:44" ht="6.6" customHeight="1">
      <c r="A24" s="60"/>
      <c r="AP24" s="58"/>
      <c r="AQ24" s="58"/>
      <c r="AR24" s="58"/>
    </row>
    <row r="25" spans="1:44" ht="6.6" customHeight="1">
      <c r="A25" s="60"/>
      <c r="AP25" s="58"/>
      <c r="AQ25" s="58"/>
      <c r="AR25" s="58"/>
    </row>
    <row r="26" spans="1:44" ht="6.6" customHeight="1">
      <c r="A26" s="60"/>
      <c r="AG26" s="61"/>
      <c r="AH26" s="61"/>
      <c r="AI26" s="61"/>
      <c r="AJ26" s="61"/>
      <c r="AK26" s="61"/>
      <c r="AP26" s="58"/>
      <c r="AQ26" s="58"/>
      <c r="AR26" s="58"/>
    </row>
    <row r="27" spans="1:44" ht="6.6" customHeight="1">
      <c r="A27" s="60"/>
      <c r="F27" s="59"/>
      <c r="G27" s="59"/>
      <c r="H27" s="59"/>
      <c r="AG27" s="61"/>
      <c r="AH27" s="61"/>
      <c r="AI27" s="61"/>
      <c r="AJ27" s="61"/>
      <c r="AK27" s="61"/>
      <c r="AP27" s="58"/>
      <c r="AQ27" s="58"/>
      <c r="AR27" s="58"/>
    </row>
    <row r="28" spans="1:44" ht="6.6" customHeight="1">
      <c r="A28" s="60"/>
      <c r="F28" s="59"/>
      <c r="G28" s="59"/>
      <c r="H28" s="59"/>
      <c r="AP28" s="57"/>
    </row>
    <row r="29" spans="1:44" ht="6.6" customHeight="1">
      <c r="A29" s="60"/>
    </row>
    <row r="30" spans="1:44" ht="6.6" customHeight="1">
      <c r="A30" s="60"/>
    </row>
    <row r="31" spans="1:44" ht="6.6" customHeight="1">
      <c r="A31" s="60"/>
    </row>
    <row r="32" spans="1:44" ht="6.6" customHeight="1">
      <c r="A32" s="60"/>
    </row>
    <row r="33" spans="1:30" ht="6.6" customHeight="1">
      <c r="A33" s="60"/>
    </row>
    <row r="34" spans="1:30" ht="6.6" customHeight="1">
      <c r="A34" s="60"/>
      <c r="AA34" s="61"/>
      <c r="AB34" s="61"/>
      <c r="AC34" s="61"/>
      <c r="AD34" s="61"/>
    </row>
    <row r="35" spans="1:30" ht="6.6" customHeight="1">
      <c r="A35" s="60"/>
      <c r="AA35" s="61"/>
      <c r="AB35" s="61"/>
      <c r="AC35" s="61"/>
      <c r="AD35" s="61"/>
    </row>
    <row r="36" spans="1:30" ht="6.6" customHeight="1">
      <c r="A36" s="60"/>
      <c r="AA36" s="61"/>
      <c r="AB36" s="61"/>
      <c r="AC36" s="61"/>
      <c r="AD36" s="61"/>
    </row>
    <row r="37" spans="1:30" ht="6.6" customHeight="1">
      <c r="A37" s="60"/>
      <c r="AA37" s="61"/>
      <c r="AB37" s="61"/>
      <c r="AC37" s="61"/>
      <c r="AD37" s="61"/>
    </row>
    <row r="38" spans="1:30" ht="6.6" customHeight="1">
      <c r="A38" s="60"/>
      <c r="AA38" s="61"/>
      <c r="AB38" s="61"/>
      <c r="AC38" s="61"/>
      <c r="AD38" s="61"/>
    </row>
    <row r="39" spans="1:30" ht="6.6" customHeight="1">
      <c r="A39" s="60"/>
      <c r="AA39" s="61"/>
      <c r="AB39" s="61"/>
      <c r="AC39" s="61"/>
      <c r="AD39" s="61"/>
    </row>
    <row r="40" spans="1:30" ht="6.6" customHeight="1">
      <c r="A40" s="60"/>
      <c r="AA40" s="61"/>
      <c r="AB40" s="61"/>
      <c r="AC40" s="61"/>
      <c r="AD40" s="61"/>
    </row>
    <row r="41" spans="1:30" ht="6.6" customHeight="1">
      <c r="A41" s="60"/>
      <c r="AA41" s="61"/>
      <c r="AB41" s="61"/>
      <c r="AC41" s="61"/>
      <c r="AD41" s="61"/>
    </row>
    <row r="42" spans="1:30" ht="6.6" customHeight="1">
      <c r="A42" s="60"/>
    </row>
    <row r="43" spans="1:30" ht="6.6" customHeight="1">
      <c r="A43" s="60"/>
    </row>
    <row r="44" spans="1:30" ht="6.6" customHeight="1">
      <c r="A44" s="60"/>
    </row>
    <row r="45" spans="1:30" ht="6.6" customHeight="1">
      <c r="A45" s="60"/>
    </row>
    <row r="46" spans="1:30" ht="6.6" customHeight="1">
      <c r="A46" s="60"/>
    </row>
    <row r="47" spans="1:30" ht="6.6" customHeight="1">
      <c r="A47" s="60"/>
    </row>
    <row r="48" spans="1:30" ht="6" customHeight="1">
      <c r="A48" s="60"/>
      <c r="AA48" s="61"/>
      <c r="AB48" s="61"/>
      <c r="AC48" s="61"/>
      <c r="AD48" s="61"/>
    </row>
    <row r="49" spans="1:45" ht="6.6" customHeight="1">
      <c r="A49" s="66"/>
      <c r="B49" s="61"/>
      <c r="C49" s="61"/>
      <c r="D49" s="61"/>
      <c r="E49" s="61"/>
      <c r="AA49" s="61"/>
      <c r="AB49" s="61"/>
      <c r="AC49" s="61"/>
      <c r="AD49" s="61"/>
    </row>
    <row r="50" spans="1:45" ht="6.6" customHeight="1">
      <c r="A50" s="66"/>
      <c r="B50" s="61"/>
      <c r="C50" s="61"/>
      <c r="D50" s="61"/>
      <c r="E50" s="61"/>
    </row>
    <row r="51" spans="1:45" ht="6.6" customHeight="1">
      <c r="A51" s="60"/>
    </row>
    <row r="52" spans="1:45" ht="6.6" customHeight="1" thickBot="1">
      <c r="A52" s="60"/>
      <c r="AA52" s="61"/>
      <c r="AB52" s="61"/>
      <c r="AC52" s="61"/>
      <c r="AD52" s="61"/>
    </row>
    <row r="53" spans="1:45" ht="21.75" customHeight="1" thickBot="1">
      <c r="A53" s="104" t="s">
        <v>107</v>
      </c>
      <c r="B53" s="105"/>
      <c r="C53" s="105"/>
      <c r="D53" s="105"/>
      <c r="E53" s="105"/>
      <c r="F53" s="106"/>
      <c r="G53" s="104" t="s">
        <v>108</v>
      </c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11"/>
      <c r="AB53" s="111"/>
      <c r="AC53" s="111"/>
      <c r="AD53" s="111"/>
      <c r="AE53" s="105"/>
      <c r="AF53" s="105"/>
      <c r="AG53" s="105"/>
      <c r="AH53" s="105"/>
      <c r="AI53" s="105"/>
      <c r="AJ53" s="107"/>
      <c r="AK53" s="107"/>
      <c r="AL53" s="107"/>
      <c r="AM53" s="107"/>
      <c r="AN53" s="107"/>
      <c r="AO53" s="107"/>
      <c r="AP53" s="107"/>
      <c r="AQ53" s="107"/>
      <c r="AR53" s="108"/>
      <c r="AS53" s="70"/>
    </row>
    <row r="54" spans="1:45" ht="6.6" customHeight="1">
      <c r="A54" s="66"/>
      <c r="B54" s="61"/>
      <c r="C54" s="61"/>
      <c r="D54" s="61"/>
      <c r="E54" s="61"/>
      <c r="AA54" s="61"/>
      <c r="AB54" s="61"/>
      <c r="AC54" s="61"/>
      <c r="AD54" s="61"/>
    </row>
    <row r="55" spans="1:45" ht="6.6" customHeight="1">
      <c r="A55" s="66"/>
      <c r="B55" s="61"/>
      <c r="C55" s="61"/>
      <c r="D55" s="61"/>
      <c r="E55" s="61"/>
    </row>
    <row r="56" spans="1:45" ht="6.6" customHeight="1">
      <c r="A56" s="60"/>
      <c r="AG56" s="109"/>
      <c r="AH56" s="109"/>
      <c r="AI56" s="109"/>
      <c r="AJ56" s="109"/>
      <c r="AK56" s="109"/>
      <c r="AL56" s="109"/>
    </row>
    <row r="57" spans="1:45" ht="6.6" customHeight="1">
      <c r="A57" s="60"/>
      <c r="AG57" s="109"/>
      <c r="AH57" s="109"/>
      <c r="AI57" s="109"/>
      <c r="AJ57" s="109"/>
      <c r="AK57" s="109"/>
      <c r="AL57" s="109"/>
    </row>
    <row r="58" spans="1:45" ht="6.6" customHeight="1">
      <c r="A58" s="66"/>
      <c r="B58" s="61"/>
      <c r="C58" s="61"/>
      <c r="D58" s="61"/>
      <c r="E58" s="61"/>
      <c r="AG58" s="114"/>
      <c r="AH58" s="114"/>
      <c r="AI58" s="114"/>
      <c r="AJ58" s="114"/>
      <c r="AK58" s="114"/>
      <c r="AL58" s="114"/>
    </row>
    <row r="59" spans="1:45" ht="6.6" customHeight="1">
      <c r="A59" s="66"/>
      <c r="B59" s="61"/>
      <c r="C59" s="61"/>
      <c r="D59" s="61"/>
      <c r="E59" s="61"/>
      <c r="AG59" s="114"/>
      <c r="AH59" s="114"/>
      <c r="AI59" s="114"/>
      <c r="AJ59" s="114"/>
      <c r="AK59" s="114"/>
      <c r="AL59" s="114"/>
    </row>
    <row r="60" spans="1:45" ht="6.6" customHeight="1">
      <c r="A60" s="60"/>
    </row>
    <row r="61" spans="1:45" ht="6.6" customHeight="1">
      <c r="A61" s="60"/>
    </row>
    <row r="62" spans="1:45" ht="6.6" customHeight="1">
      <c r="A62" s="60"/>
    </row>
    <row r="63" spans="1:45" ht="6.6" customHeight="1">
      <c r="A63" s="60"/>
    </row>
    <row r="64" spans="1:45" ht="6.6" customHeight="1">
      <c r="A64" s="60"/>
    </row>
    <row r="65" spans="1:30" ht="6.6" customHeight="1">
      <c r="A65" s="60"/>
      <c r="AA65" s="61"/>
      <c r="AB65" s="61"/>
      <c r="AC65" s="61"/>
      <c r="AD65" s="61"/>
    </row>
    <row r="66" spans="1:30" ht="6.6" customHeight="1">
      <c r="A66" s="66"/>
      <c r="B66" s="61"/>
      <c r="C66" s="61"/>
      <c r="D66" s="61"/>
      <c r="E66" s="61"/>
      <c r="AA66" s="61"/>
      <c r="AB66" s="61"/>
      <c r="AC66" s="61"/>
      <c r="AD66" s="61"/>
    </row>
    <row r="67" spans="1:30" ht="6.6" customHeight="1">
      <c r="A67" s="66"/>
      <c r="B67" s="61"/>
      <c r="C67" s="61"/>
      <c r="D67" s="61"/>
      <c r="E67" s="61"/>
    </row>
    <row r="68" spans="1:30" ht="6.6" customHeight="1">
      <c r="A68" s="60"/>
    </row>
    <row r="69" spans="1:30" ht="6.6" customHeight="1">
      <c r="A69" s="60"/>
      <c r="AA69" s="61"/>
      <c r="AB69" s="61"/>
      <c r="AC69" s="61"/>
      <c r="AD69" s="61"/>
    </row>
    <row r="70" spans="1:30" ht="6.6" customHeight="1">
      <c r="A70" s="66"/>
      <c r="B70" s="61"/>
      <c r="C70" s="61"/>
      <c r="D70" s="61"/>
      <c r="E70" s="61"/>
      <c r="AA70" s="61"/>
      <c r="AB70" s="61"/>
      <c r="AC70" s="61"/>
      <c r="AD70" s="61"/>
    </row>
    <row r="71" spans="1:30" ht="6.6" customHeight="1">
      <c r="A71" s="66"/>
      <c r="B71" s="61"/>
      <c r="C71" s="61"/>
      <c r="D71" s="61"/>
      <c r="E71" s="61"/>
    </row>
    <row r="72" spans="1:30" ht="6.6" customHeight="1">
      <c r="A72" s="60"/>
    </row>
    <row r="73" spans="1:30" ht="6.6" customHeight="1">
      <c r="A73" s="60"/>
      <c r="AA73" s="61"/>
      <c r="AB73" s="61"/>
      <c r="AC73" s="61"/>
      <c r="AD73" s="61"/>
    </row>
    <row r="74" spans="1:30" ht="6.6" customHeight="1">
      <c r="A74" s="60"/>
      <c r="AA74" s="61"/>
      <c r="AB74" s="61"/>
      <c r="AC74" s="61"/>
      <c r="AD74" s="61"/>
    </row>
    <row r="75" spans="1:30" ht="6.6" customHeight="1">
      <c r="A75" s="60"/>
    </row>
    <row r="76" spans="1:30" ht="6.6" customHeight="1">
      <c r="A76" s="60"/>
    </row>
    <row r="77" spans="1:30" ht="6.6" customHeight="1">
      <c r="A77" s="60"/>
      <c r="AA77" s="61"/>
      <c r="AB77" s="61"/>
      <c r="AC77" s="61"/>
      <c r="AD77" s="61"/>
    </row>
    <row r="78" spans="1:30" ht="6.6" customHeight="1">
      <c r="A78" s="67"/>
      <c r="B78" s="59"/>
      <c r="C78" s="59"/>
      <c r="D78" s="59"/>
      <c r="E78" s="59"/>
      <c r="AA78" s="61"/>
      <c r="AB78" s="61"/>
      <c r="AC78" s="61"/>
      <c r="AD78" s="61"/>
    </row>
    <row r="79" spans="1:30" ht="6.6" customHeight="1">
      <c r="A79" s="67"/>
      <c r="B79" s="59"/>
      <c r="C79" s="59"/>
      <c r="D79" s="59"/>
      <c r="E79" s="59"/>
    </row>
    <row r="80" spans="1:30" ht="6.6" customHeight="1">
      <c r="A80" s="60"/>
    </row>
    <row r="81" spans="1:44" ht="6.6" customHeight="1">
      <c r="A81" s="60"/>
      <c r="AA81" s="61"/>
      <c r="AB81" s="61"/>
      <c r="AC81" s="61"/>
      <c r="AD81" s="61"/>
    </row>
    <row r="82" spans="1:44" ht="6.6" customHeight="1">
      <c r="A82" s="67"/>
      <c r="B82" s="59"/>
      <c r="C82" s="59"/>
      <c r="D82" s="59"/>
      <c r="E82" s="59"/>
      <c r="AA82" s="61"/>
      <c r="AB82" s="61"/>
      <c r="AC82" s="61"/>
      <c r="AD82" s="61"/>
    </row>
    <row r="83" spans="1:44" ht="6.6" customHeight="1">
      <c r="A83" s="67"/>
      <c r="B83" s="59"/>
      <c r="C83" s="59"/>
      <c r="D83" s="59"/>
      <c r="E83" s="59"/>
    </row>
    <row r="84" spans="1:44" ht="6.6" customHeight="1">
      <c r="A84" s="60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</row>
    <row r="85" spans="1:44" ht="6.6" customHeight="1">
      <c r="A85" s="60"/>
      <c r="AA85" s="61"/>
      <c r="AB85" s="61"/>
      <c r="AC85" s="61"/>
      <c r="AD85" s="61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</row>
    <row r="86" spans="1:44" ht="6.6" customHeight="1">
      <c r="A86" s="60"/>
      <c r="AA86" s="61"/>
      <c r="AB86" s="61"/>
      <c r="AC86" s="61"/>
      <c r="AD86" s="61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</row>
    <row r="87" spans="1:44" ht="6.6" customHeight="1" thickBot="1">
      <c r="A87" s="68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</row>
    <row r="88" spans="1:44" ht="8.1" customHeight="1"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</row>
    <row r="89" spans="1:44" ht="8.1" customHeight="1"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10"/>
      <c r="AB89" s="110"/>
      <c r="AC89" s="110"/>
      <c r="AD89" s="110"/>
      <c r="AE89" s="109"/>
      <c r="AF89" s="109"/>
      <c r="AG89" s="109"/>
      <c r="AH89" s="109"/>
      <c r="AI89" s="109"/>
    </row>
    <row r="90" spans="1:44" ht="8.1" customHeight="1"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10"/>
      <c r="AB90" s="110"/>
      <c r="AC90" s="110"/>
      <c r="AD90" s="110"/>
      <c r="AE90" s="109"/>
      <c r="AF90" s="109"/>
      <c r="AG90" s="109"/>
      <c r="AH90" s="109"/>
      <c r="AI90" s="109"/>
    </row>
    <row r="91" spans="1:44" ht="8.1" customHeight="1"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</row>
    <row r="92" spans="1:44" ht="8.1" customHeight="1"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</row>
    <row r="93" spans="1:44" ht="8.1" customHeight="1">
      <c r="AA93" s="61"/>
      <c r="AB93" s="61"/>
      <c r="AC93" s="61"/>
      <c r="AD93" s="61"/>
    </row>
    <row r="94" spans="1:44" ht="8.1" customHeight="1">
      <c r="AA94" s="61"/>
      <c r="AB94" s="61"/>
      <c r="AC94" s="61"/>
      <c r="AD94" s="61"/>
    </row>
    <row r="95" spans="1:44" ht="8.1" customHeight="1"/>
    <row r="96" spans="1:44" ht="8.1" customHeight="1"/>
    <row r="97" spans="27:30" ht="8.1" customHeight="1">
      <c r="AA97" s="61"/>
      <c r="AB97" s="61"/>
      <c r="AC97" s="61"/>
      <c r="AD97" s="61"/>
    </row>
    <row r="98" spans="27:30" ht="8.1" customHeight="1">
      <c r="AA98" s="61"/>
      <c r="AB98" s="61"/>
      <c r="AC98" s="61"/>
      <c r="AD98" s="61"/>
    </row>
    <row r="99" spans="27:30" ht="8.1" customHeight="1"/>
    <row r="100" spans="27:30" ht="8.1" customHeight="1"/>
    <row r="101" spans="27:30" ht="8.1" customHeight="1">
      <c r="AA101" s="61"/>
      <c r="AB101" s="61"/>
      <c r="AC101" s="61"/>
      <c r="AD101" s="61"/>
    </row>
    <row r="102" spans="27:30" ht="8.1" customHeight="1">
      <c r="AA102" s="61"/>
      <c r="AB102" s="61"/>
      <c r="AC102" s="61"/>
      <c r="AD102" s="61"/>
    </row>
    <row r="103" spans="27:30" ht="8.1" customHeight="1"/>
    <row r="104" spans="27:30" ht="8.1" customHeight="1"/>
    <row r="105" spans="27:30" ht="8.1" customHeight="1">
      <c r="AA105" s="61"/>
      <c r="AB105" s="61"/>
      <c r="AC105" s="61"/>
      <c r="AD105" s="61"/>
    </row>
    <row r="106" spans="27:30" ht="8.1" customHeight="1">
      <c r="AA106" s="61"/>
      <c r="AB106" s="61"/>
      <c r="AC106" s="61"/>
      <c r="AD106" s="61"/>
    </row>
    <row r="107" spans="27:30" ht="8.1" customHeight="1"/>
    <row r="108" spans="27:30" ht="8.1" customHeight="1"/>
    <row r="109" spans="27:30" ht="8.1" customHeight="1"/>
    <row r="110" spans="27:30" ht="8.1" customHeight="1"/>
    <row r="111" spans="27:30" ht="8.1" customHeight="1"/>
    <row r="112" spans="27:30" ht="8.1" customHeight="1"/>
    <row r="113" ht="8.1" customHeight="1"/>
    <row r="114" ht="8.1" customHeight="1"/>
    <row r="115" ht="8.1" customHeight="1"/>
    <row r="116" ht="8.1" customHeight="1"/>
    <row r="117" ht="8.1" customHeight="1"/>
    <row r="118" ht="8.1" customHeight="1"/>
    <row r="119" ht="8.1" customHeight="1"/>
    <row r="120" ht="8.1" customHeight="1"/>
    <row r="121" ht="8.1" customHeight="1"/>
    <row r="122" ht="8.1" customHeight="1"/>
    <row r="123" ht="8.1" customHeight="1"/>
    <row r="124" ht="8.1" customHeight="1"/>
    <row r="125" ht="8.1" customHeight="1"/>
    <row r="126" ht="8.1" customHeight="1"/>
    <row r="127" ht="8.1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9.9499999999999993" customHeight="1"/>
    <row r="249" ht="9.9499999999999993" customHeight="1"/>
    <row r="250" ht="9.9499999999999993" customHeight="1"/>
    <row r="251" ht="9.9499999999999993" customHeight="1"/>
    <row r="252" ht="9.9499999999999993" customHeight="1"/>
    <row r="253" ht="9.9499999999999993" customHeight="1"/>
    <row r="254" ht="9.9499999999999993" customHeight="1"/>
    <row r="255" ht="9.9499999999999993" customHeight="1"/>
    <row r="256" ht="9.9499999999999993" customHeight="1"/>
    <row r="257" ht="9.9499999999999993" customHeight="1"/>
    <row r="258" ht="9.9499999999999993" customHeight="1"/>
    <row r="259" ht="9.9499999999999993" customHeight="1"/>
    <row r="260" ht="9.9499999999999993" customHeight="1"/>
    <row r="261" ht="9.9499999999999993" customHeight="1"/>
    <row r="262" ht="9.9499999999999993" customHeight="1"/>
    <row r="263" ht="9.9499999999999993" customHeight="1"/>
    <row r="264" ht="9.9499999999999993" customHeight="1"/>
    <row r="265" ht="9.9499999999999993" customHeight="1"/>
    <row r="266" ht="9.9499999999999993" customHeight="1"/>
    <row r="267" ht="9.9499999999999993" customHeight="1"/>
    <row r="268" ht="9.9499999999999993" customHeight="1"/>
    <row r="269" ht="9.9499999999999993" customHeight="1"/>
    <row r="270" ht="9.9499999999999993" customHeight="1"/>
    <row r="271" ht="9.9499999999999993" customHeight="1"/>
    <row r="272" ht="9.9499999999999993" customHeight="1"/>
    <row r="273" ht="9.9499999999999993" customHeight="1"/>
    <row r="274" ht="9.9499999999999993" customHeight="1"/>
    <row r="275" ht="9.9499999999999993" customHeight="1"/>
    <row r="276" ht="9.9499999999999993" customHeight="1"/>
    <row r="277" ht="9.9499999999999993" customHeight="1"/>
    <row r="278" ht="9.9499999999999993" customHeight="1"/>
    <row r="279" ht="9.9499999999999993" customHeight="1"/>
    <row r="280" ht="9.9499999999999993" customHeight="1"/>
    <row r="281" ht="9.9499999999999993" customHeight="1"/>
    <row r="282" ht="9.9499999999999993" customHeight="1"/>
    <row r="283" ht="9.9499999999999993" customHeight="1"/>
    <row r="284" ht="9.9499999999999993" customHeight="1"/>
    <row r="285" ht="9.9499999999999993" customHeight="1"/>
    <row r="286" ht="9.9499999999999993" customHeight="1"/>
    <row r="287" ht="9.9499999999999993" customHeight="1"/>
    <row r="288" ht="9.9499999999999993" customHeight="1"/>
    <row r="289" ht="9.9499999999999993" customHeight="1"/>
    <row r="290" ht="9.9499999999999993" customHeight="1"/>
    <row r="291" ht="9.9499999999999993" customHeight="1"/>
    <row r="292" ht="9.9499999999999993" customHeight="1"/>
    <row r="293" ht="9.9499999999999993" customHeight="1"/>
    <row r="294" ht="9.9499999999999993" customHeight="1"/>
    <row r="295" ht="9.9499999999999993" customHeight="1"/>
    <row r="296" ht="9.9499999999999993" customHeight="1"/>
    <row r="297" ht="9.9499999999999993" customHeight="1"/>
    <row r="298" ht="9.9499999999999993" customHeight="1"/>
    <row r="299" ht="9.9499999999999993" customHeight="1"/>
    <row r="300" ht="9.9499999999999993" customHeight="1"/>
    <row r="301" ht="9.9499999999999993" customHeight="1"/>
    <row r="302" ht="9.9499999999999993" customHeight="1"/>
    <row r="303" ht="9.9499999999999993" customHeight="1"/>
    <row r="304" ht="9.9499999999999993" customHeight="1"/>
    <row r="305" ht="9.9499999999999993" customHeight="1"/>
    <row r="306" ht="9.9499999999999993" customHeight="1"/>
    <row r="307" ht="9.9499999999999993" customHeight="1"/>
    <row r="308" ht="9.9499999999999993" customHeight="1"/>
    <row r="309" ht="9.9499999999999993" customHeight="1"/>
    <row r="310" ht="9.9499999999999993" customHeight="1"/>
    <row r="311" ht="9.9499999999999993" customHeight="1"/>
    <row r="312" ht="9.9499999999999993" customHeight="1"/>
    <row r="313" ht="9.9499999999999993" customHeight="1"/>
    <row r="314" ht="9.9499999999999993" customHeight="1"/>
    <row r="315" ht="9.9499999999999993" customHeight="1"/>
    <row r="316" ht="9.9499999999999993" customHeight="1"/>
    <row r="317" ht="9.9499999999999993" customHeight="1"/>
    <row r="318" ht="9.9499999999999993" customHeight="1"/>
    <row r="319" ht="9.9499999999999993" customHeight="1"/>
    <row r="320" ht="9.9499999999999993" customHeight="1"/>
    <row r="321" ht="9.9499999999999993" customHeight="1"/>
    <row r="322" ht="9.9499999999999993" customHeight="1"/>
    <row r="323" ht="9.9499999999999993" customHeight="1"/>
    <row r="324" ht="9.9499999999999993" customHeight="1"/>
    <row r="325" ht="9.9499999999999993" customHeight="1"/>
    <row r="326" ht="9.9499999999999993" customHeight="1"/>
    <row r="327" ht="9.9499999999999993" customHeight="1"/>
    <row r="328" ht="9.9499999999999993" customHeight="1"/>
    <row r="329" ht="9.9499999999999993" customHeight="1"/>
    <row r="330" ht="9.9499999999999993" customHeight="1"/>
    <row r="331" ht="9.9499999999999993" customHeight="1"/>
    <row r="332" ht="9.9499999999999993" customHeight="1"/>
    <row r="333" ht="9.9499999999999993" customHeight="1"/>
    <row r="334" ht="9.9499999999999993" customHeight="1"/>
    <row r="335" ht="9.9499999999999993" customHeight="1"/>
    <row r="336" ht="9.9499999999999993" customHeight="1"/>
    <row r="337" ht="9.9499999999999993" customHeight="1"/>
    <row r="338" ht="9.9499999999999993" customHeight="1"/>
    <row r="339" ht="9.9499999999999993" customHeight="1"/>
    <row r="340" ht="9.9499999999999993" customHeight="1"/>
    <row r="341" ht="9.9499999999999993" customHeight="1"/>
    <row r="342" ht="9.9499999999999993" customHeight="1"/>
    <row r="343" ht="9.9499999999999993" customHeight="1"/>
    <row r="344" ht="9.9499999999999993" customHeight="1"/>
    <row r="345" ht="9.9499999999999993" customHeight="1"/>
    <row r="346" ht="9.9499999999999993" customHeight="1"/>
    <row r="347" ht="9.9499999999999993" customHeight="1"/>
    <row r="348" ht="9.9499999999999993" customHeight="1"/>
    <row r="349" ht="9.9499999999999993" customHeight="1"/>
    <row r="350" ht="9.9499999999999993" customHeight="1"/>
    <row r="351" ht="9.9499999999999993" customHeight="1"/>
    <row r="352" ht="9.9499999999999993" customHeight="1"/>
    <row r="353" ht="9.9499999999999993" customHeight="1"/>
    <row r="354" ht="9.9499999999999993" customHeight="1"/>
    <row r="355" ht="9.9499999999999993" customHeight="1"/>
    <row r="356" ht="9.9499999999999993" customHeight="1"/>
    <row r="357" ht="9.9499999999999993" customHeight="1"/>
    <row r="358" ht="9.9499999999999993" customHeight="1"/>
    <row r="359" ht="9.9499999999999993" customHeight="1"/>
    <row r="360" ht="9.9499999999999993" customHeight="1"/>
    <row r="361" ht="9.9499999999999993" customHeight="1"/>
    <row r="362" ht="9.9499999999999993" customHeight="1"/>
    <row r="363" ht="9.9499999999999993" customHeight="1"/>
    <row r="364" ht="9.9499999999999993" customHeight="1"/>
    <row r="365" ht="9.9499999999999993" customHeight="1"/>
    <row r="366" ht="9.9499999999999993" customHeight="1"/>
    <row r="367" ht="9.9499999999999993" customHeight="1"/>
    <row r="368" ht="9.9499999999999993" customHeight="1"/>
    <row r="369" ht="9.9499999999999993" customHeight="1"/>
    <row r="370" ht="9.9499999999999993" customHeight="1"/>
    <row r="371" ht="9.9499999999999993" customHeight="1"/>
    <row r="372" ht="9.9499999999999993" customHeight="1"/>
    <row r="373" ht="9.9499999999999993" customHeight="1"/>
    <row r="374" ht="9.9499999999999993" customHeight="1"/>
    <row r="375" ht="9.9499999999999993" customHeight="1"/>
    <row r="376" ht="9.9499999999999993" customHeight="1"/>
    <row r="377" ht="9.9499999999999993" customHeight="1"/>
    <row r="378" ht="9.9499999999999993" customHeight="1"/>
    <row r="379" ht="9.9499999999999993" customHeight="1"/>
    <row r="380" ht="9.9499999999999993" customHeight="1"/>
    <row r="381" ht="9.9499999999999993" customHeight="1"/>
    <row r="382" ht="9.9499999999999993" customHeight="1"/>
    <row r="383" ht="9.9499999999999993" customHeight="1"/>
    <row r="384" ht="9.9499999999999993" customHeight="1"/>
    <row r="385" ht="9.9499999999999993" customHeight="1"/>
    <row r="386" ht="9.9499999999999993" customHeight="1"/>
    <row r="387" ht="9.9499999999999993" customHeight="1"/>
    <row r="388" ht="9.9499999999999993" customHeight="1"/>
    <row r="389" ht="9.9499999999999993" customHeight="1"/>
    <row r="390" ht="9.9499999999999993" customHeight="1"/>
    <row r="391" ht="9.9499999999999993" customHeight="1"/>
    <row r="392" ht="9.9499999999999993" customHeight="1"/>
    <row r="393" ht="9.9499999999999993" customHeight="1"/>
    <row r="394" ht="9.9499999999999993" customHeight="1"/>
    <row r="395" ht="9.9499999999999993" customHeight="1"/>
    <row r="396" ht="9.9499999999999993" customHeight="1"/>
    <row r="397" ht="9.9499999999999993" customHeight="1"/>
    <row r="398" ht="9.9499999999999993" customHeight="1"/>
    <row r="399" ht="9.9499999999999993" customHeight="1"/>
    <row r="400" ht="9.9499999999999993" customHeight="1"/>
    <row r="401" ht="9.9499999999999993" customHeight="1"/>
    <row r="402" ht="9.9499999999999993" customHeight="1"/>
    <row r="403" ht="9.9499999999999993" customHeight="1"/>
    <row r="404" ht="9.9499999999999993" customHeight="1"/>
    <row r="405" ht="9.9499999999999993" customHeight="1"/>
    <row r="406" ht="9.9499999999999993" customHeight="1"/>
    <row r="407" ht="9.9499999999999993" customHeight="1"/>
    <row r="408" ht="9.9499999999999993" customHeight="1"/>
    <row r="409" ht="9.9499999999999993" customHeight="1"/>
    <row r="410" ht="9.9499999999999993" customHeight="1"/>
    <row r="411" ht="9.9499999999999993" customHeight="1"/>
    <row r="412" ht="9.9499999999999993" customHeight="1"/>
    <row r="413" ht="9.9499999999999993" customHeight="1"/>
    <row r="414" ht="9.9499999999999993" customHeight="1"/>
    <row r="415" ht="9.9499999999999993" customHeight="1"/>
    <row r="416" ht="9.9499999999999993" customHeight="1"/>
    <row r="417" ht="9.9499999999999993" customHeight="1"/>
    <row r="418" ht="9.9499999999999993" customHeight="1"/>
    <row r="419" ht="9.9499999999999993" customHeight="1"/>
    <row r="420" ht="9.9499999999999993" customHeight="1"/>
    <row r="421" ht="9.9499999999999993" customHeight="1"/>
    <row r="422" ht="9.9499999999999993" customHeight="1"/>
    <row r="423" ht="9.9499999999999993" customHeight="1"/>
    <row r="424" ht="9.9499999999999993" customHeight="1"/>
    <row r="425" ht="9.9499999999999993" customHeight="1"/>
    <row r="426" ht="9.9499999999999993" customHeight="1"/>
    <row r="427" ht="9.9499999999999993" customHeight="1"/>
    <row r="428" ht="9.9499999999999993" customHeight="1"/>
    <row r="429" ht="9.9499999999999993" customHeight="1"/>
    <row r="430" ht="9.9499999999999993" customHeight="1"/>
    <row r="431" ht="9.9499999999999993" customHeight="1"/>
    <row r="432" ht="9.9499999999999993" customHeight="1"/>
    <row r="433" ht="9.9499999999999993" customHeight="1"/>
    <row r="434" ht="9.9499999999999993" customHeight="1"/>
    <row r="435" ht="9.9499999999999993" customHeight="1"/>
    <row r="436" ht="9.9499999999999993" customHeight="1"/>
    <row r="437" ht="9.9499999999999993" customHeight="1"/>
    <row r="438" ht="9.9499999999999993" customHeight="1"/>
    <row r="439" ht="9.9499999999999993" customHeight="1"/>
    <row r="440" ht="9.9499999999999993" customHeight="1"/>
    <row r="441" ht="9.9499999999999993" customHeight="1"/>
    <row r="442" ht="9.9499999999999993" customHeight="1"/>
    <row r="443" ht="9.9499999999999993" customHeight="1"/>
    <row r="444" ht="9.9499999999999993" customHeight="1"/>
    <row r="445" ht="9.9499999999999993" customHeight="1"/>
    <row r="446" ht="9.9499999999999993" customHeight="1"/>
    <row r="447" ht="9.9499999999999993" customHeight="1"/>
    <row r="448" ht="9.9499999999999993" customHeight="1"/>
    <row r="449" ht="9.9499999999999993" customHeight="1"/>
    <row r="450" ht="9.9499999999999993" customHeight="1"/>
    <row r="451" ht="9.9499999999999993" customHeight="1"/>
    <row r="452" ht="9.9499999999999993" customHeight="1"/>
    <row r="453" ht="9.9499999999999993" customHeight="1"/>
    <row r="454" ht="9.9499999999999993" customHeight="1"/>
    <row r="455" ht="9.9499999999999993" customHeight="1"/>
    <row r="456" ht="9.9499999999999993" customHeight="1"/>
    <row r="457" ht="9.9499999999999993" customHeight="1"/>
    <row r="458" ht="9.9499999999999993" customHeight="1"/>
    <row r="459" ht="9.9499999999999993" customHeight="1"/>
    <row r="460" ht="9.9499999999999993" customHeight="1"/>
    <row r="461" ht="9.9499999999999993" customHeight="1"/>
    <row r="462" ht="9.9499999999999993" customHeight="1"/>
    <row r="463" ht="9.9499999999999993" customHeight="1"/>
    <row r="464" ht="9.9499999999999993" customHeight="1"/>
    <row r="465" ht="9.9499999999999993" customHeight="1"/>
    <row r="466" ht="9.9499999999999993" customHeight="1"/>
    <row r="467" ht="9.9499999999999993" customHeight="1"/>
    <row r="468" ht="9.9499999999999993" customHeight="1"/>
    <row r="469" ht="9.9499999999999993" customHeight="1"/>
    <row r="470" ht="9.9499999999999993" customHeight="1"/>
    <row r="471" ht="9.9499999999999993" customHeight="1"/>
    <row r="472" ht="9.9499999999999993" customHeight="1"/>
    <row r="473" ht="9.9499999999999993" customHeight="1"/>
    <row r="474" ht="9.9499999999999993" customHeight="1"/>
    <row r="475" ht="9.9499999999999993" customHeight="1"/>
    <row r="476" ht="9.9499999999999993" customHeight="1"/>
    <row r="477" ht="9.9499999999999993" customHeight="1"/>
    <row r="478" ht="9.9499999999999993" customHeight="1"/>
    <row r="479" ht="9.9499999999999993" customHeight="1"/>
    <row r="480" ht="9.9499999999999993" customHeight="1"/>
    <row r="481" ht="9.9499999999999993" customHeight="1"/>
    <row r="482" ht="9.9499999999999993" customHeight="1"/>
    <row r="483" ht="9.9499999999999993" customHeight="1"/>
    <row r="484" ht="9.9499999999999993" customHeight="1"/>
    <row r="485" ht="9.9499999999999993" customHeight="1"/>
    <row r="486" ht="9.9499999999999993" customHeight="1"/>
    <row r="487" ht="9.9499999999999993" customHeight="1"/>
    <row r="488" ht="9.9499999999999993" customHeight="1"/>
    <row r="489" ht="9.9499999999999993" customHeight="1"/>
    <row r="490" ht="9.9499999999999993" customHeight="1"/>
    <row r="491" ht="9.9499999999999993" customHeight="1"/>
    <row r="492" ht="9.9499999999999993" customHeight="1"/>
    <row r="493" ht="9.9499999999999993" customHeight="1"/>
    <row r="494" ht="9.9499999999999993" customHeight="1"/>
    <row r="495" ht="9.9499999999999993" customHeight="1"/>
    <row r="496" ht="9.9499999999999993" customHeight="1"/>
    <row r="497" ht="9.9499999999999993" customHeight="1"/>
    <row r="498" ht="9.9499999999999993" customHeight="1"/>
    <row r="499" ht="9.9499999999999993" customHeight="1"/>
    <row r="500" ht="9.9499999999999993" customHeight="1"/>
    <row r="501" ht="9.9499999999999993" customHeight="1"/>
    <row r="502" ht="9.9499999999999993" customHeight="1"/>
    <row r="503" ht="9.9499999999999993" customHeight="1"/>
    <row r="504" ht="9.9499999999999993" customHeight="1"/>
    <row r="505" ht="9.9499999999999993" customHeight="1"/>
    <row r="506" ht="9.9499999999999993" customHeight="1"/>
    <row r="507" ht="9.9499999999999993" customHeight="1"/>
    <row r="508" ht="9.9499999999999993" customHeight="1"/>
    <row r="509" ht="9.9499999999999993" customHeight="1"/>
    <row r="510" ht="9.9499999999999993" customHeight="1"/>
    <row r="511" ht="9.9499999999999993" customHeight="1"/>
    <row r="512" ht="9.9499999999999993" customHeight="1"/>
    <row r="513" ht="9.9499999999999993" customHeight="1"/>
    <row r="514" ht="9.9499999999999993" customHeight="1"/>
    <row r="515" ht="9.9499999999999993" customHeight="1"/>
    <row r="516" ht="9.9499999999999993" customHeight="1"/>
    <row r="517" ht="9.9499999999999993" customHeight="1"/>
    <row r="518" ht="9.9499999999999993" customHeight="1"/>
    <row r="519" ht="9.9499999999999993" customHeight="1"/>
    <row r="520" ht="9.9499999999999993" customHeight="1"/>
    <row r="521" ht="9.9499999999999993" customHeight="1"/>
    <row r="522" ht="9.9499999999999993" customHeight="1"/>
    <row r="523" ht="9.9499999999999993" customHeight="1"/>
    <row r="524" ht="9.9499999999999993" customHeight="1"/>
    <row r="525" ht="9.9499999999999993" customHeight="1"/>
    <row r="526" ht="9.9499999999999993" customHeight="1"/>
    <row r="527" ht="9.9499999999999993" customHeight="1"/>
    <row r="528" ht="9.9499999999999993" customHeight="1"/>
    <row r="529" ht="9.9499999999999993" customHeight="1"/>
    <row r="530" ht="9.9499999999999993" customHeight="1"/>
    <row r="531" ht="9.9499999999999993" customHeight="1"/>
    <row r="532" ht="9.9499999999999993" customHeight="1"/>
    <row r="533" ht="9.9499999999999993" customHeight="1"/>
    <row r="534" ht="9.9499999999999993" customHeight="1"/>
    <row r="535" ht="9.9499999999999993" customHeight="1"/>
    <row r="536" ht="9.9499999999999993" customHeight="1"/>
    <row r="537" ht="9.9499999999999993" customHeight="1"/>
    <row r="538" ht="9.9499999999999993" customHeight="1"/>
    <row r="539" ht="9.9499999999999993" customHeight="1"/>
    <row r="540" ht="9.9499999999999993" customHeight="1"/>
    <row r="541" ht="9.9499999999999993" customHeight="1"/>
    <row r="542" ht="9.9499999999999993" customHeight="1"/>
    <row r="543" ht="9.9499999999999993" customHeight="1"/>
    <row r="544" ht="9.9499999999999993" customHeight="1"/>
    <row r="545" ht="9.9499999999999993" customHeight="1"/>
    <row r="546" ht="9.9499999999999993" customHeight="1"/>
    <row r="547" ht="9.9499999999999993" customHeight="1"/>
    <row r="548" ht="9.9499999999999993" customHeight="1"/>
    <row r="549" ht="9.9499999999999993" customHeight="1"/>
    <row r="550" ht="9.9499999999999993" customHeight="1"/>
    <row r="551" ht="9.9499999999999993" customHeight="1"/>
    <row r="552" ht="9.9499999999999993" customHeight="1"/>
    <row r="553" ht="9.9499999999999993" customHeight="1"/>
    <row r="554" ht="9.9499999999999993" customHeight="1"/>
    <row r="555" ht="9.9499999999999993" customHeight="1"/>
    <row r="556" ht="9.9499999999999993" customHeight="1"/>
    <row r="557" ht="9.9499999999999993" customHeight="1"/>
    <row r="558" ht="9.9499999999999993" customHeight="1"/>
    <row r="559" ht="9.9499999999999993" customHeight="1"/>
  </sheetData>
  <mergeCells count="11">
    <mergeCell ref="A53:F53"/>
    <mergeCell ref="A1:AR1"/>
    <mergeCell ref="G89:AI90"/>
    <mergeCell ref="G91:AI92"/>
    <mergeCell ref="G53:AR53"/>
    <mergeCell ref="AH84:AM85"/>
    <mergeCell ref="AN84:AR85"/>
    <mergeCell ref="AH86:AM87"/>
    <mergeCell ref="AN86:AR87"/>
    <mergeCell ref="AG56:AL57"/>
    <mergeCell ref="AG58:AL59"/>
  </mergeCells>
  <phoneticPr fontId="3"/>
  <pageMargins left="0" right="0" top="0" bottom="0" header="0" footer="0"/>
  <pageSetup paperSize="12" scale="118" orientation="landscape" horizontalDpi="300" verticalDpi="300" r:id="rId1"/>
  <rowBreaks count="1" manualBreakCount="1">
    <brk id="88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6774-92B7-487A-A82D-54EF45769B5C}">
  <dimension ref="A1:Q97"/>
  <sheetViews>
    <sheetView topLeftCell="A43" zoomScale="80" zoomScaleNormal="80" workbookViewId="0">
      <selection activeCell="C13" sqref="C13"/>
    </sheetView>
  </sheetViews>
  <sheetFormatPr defaultRowHeight="18.75"/>
  <cols>
    <col min="1" max="1" width="1.75" style="46" customWidth="1"/>
    <col min="2" max="2" width="15.75" style="75" customWidth="1"/>
    <col min="3" max="6" width="10.75" style="75" customWidth="1"/>
    <col min="7" max="7" width="12.125" style="94" customWidth="1"/>
    <col min="8" max="8" width="10.75" style="75" customWidth="1"/>
    <col min="9" max="256" width="9" style="46"/>
    <col min="257" max="257" width="1.75" style="46" customWidth="1"/>
    <col min="258" max="258" width="15.75" style="46" customWidth="1"/>
    <col min="259" max="262" width="10.75" style="46" customWidth="1"/>
    <col min="263" max="263" width="12.125" style="46" customWidth="1"/>
    <col min="264" max="264" width="10.75" style="46" customWidth="1"/>
    <col min="265" max="512" width="9" style="46"/>
    <col min="513" max="513" width="1.75" style="46" customWidth="1"/>
    <col min="514" max="514" width="15.75" style="46" customWidth="1"/>
    <col min="515" max="518" width="10.75" style="46" customWidth="1"/>
    <col min="519" max="519" width="12.125" style="46" customWidth="1"/>
    <col min="520" max="520" width="10.75" style="46" customWidth="1"/>
    <col min="521" max="768" width="9" style="46"/>
    <col min="769" max="769" width="1.75" style="46" customWidth="1"/>
    <col min="770" max="770" width="15.75" style="46" customWidth="1"/>
    <col min="771" max="774" width="10.75" style="46" customWidth="1"/>
    <col min="775" max="775" width="12.125" style="46" customWidth="1"/>
    <col min="776" max="776" width="10.75" style="46" customWidth="1"/>
    <col min="777" max="1024" width="9" style="46"/>
    <col min="1025" max="1025" width="1.75" style="46" customWidth="1"/>
    <col min="1026" max="1026" width="15.75" style="46" customWidth="1"/>
    <col min="1027" max="1030" width="10.75" style="46" customWidth="1"/>
    <col min="1031" max="1031" width="12.125" style="46" customWidth="1"/>
    <col min="1032" max="1032" width="10.75" style="46" customWidth="1"/>
    <col min="1033" max="1280" width="9" style="46"/>
    <col min="1281" max="1281" width="1.75" style="46" customWidth="1"/>
    <col min="1282" max="1282" width="15.75" style="46" customWidth="1"/>
    <col min="1283" max="1286" width="10.75" style="46" customWidth="1"/>
    <col min="1287" max="1287" width="12.125" style="46" customWidth="1"/>
    <col min="1288" max="1288" width="10.75" style="46" customWidth="1"/>
    <col min="1289" max="1536" width="9" style="46"/>
    <col min="1537" max="1537" width="1.75" style="46" customWidth="1"/>
    <col min="1538" max="1538" width="15.75" style="46" customWidth="1"/>
    <col min="1539" max="1542" width="10.75" style="46" customWidth="1"/>
    <col min="1543" max="1543" width="12.125" style="46" customWidth="1"/>
    <col min="1544" max="1544" width="10.75" style="46" customWidth="1"/>
    <col min="1545" max="1792" width="9" style="46"/>
    <col min="1793" max="1793" width="1.75" style="46" customWidth="1"/>
    <col min="1794" max="1794" width="15.75" style="46" customWidth="1"/>
    <col min="1795" max="1798" width="10.75" style="46" customWidth="1"/>
    <col min="1799" max="1799" width="12.125" style="46" customWidth="1"/>
    <col min="1800" max="1800" width="10.75" style="46" customWidth="1"/>
    <col min="1801" max="2048" width="9" style="46"/>
    <col min="2049" max="2049" width="1.75" style="46" customWidth="1"/>
    <col min="2050" max="2050" width="15.75" style="46" customWidth="1"/>
    <col min="2051" max="2054" width="10.75" style="46" customWidth="1"/>
    <col min="2055" max="2055" width="12.125" style="46" customWidth="1"/>
    <col min="2056" max="2056" width="10.75" style="46" customWidth="1"/>
    <col min="2057" max="2304" width="9" style="46"/>
    <col min="2305" max="2305" width="1.75" style="46" customWidth="1"/>
    <col min="2306" max="2306" width="15.75" style="46" customWidth="1"/>
    <col min="2307" max="2310" width="10.75" style="46" customWidth="1"/>
    <col min="2311" max="2311" width="12.125" style="46" customWidth="1"/>
    <col min="2312" max="2312" width="10.75" style="46" customWidth="1"/>
    <col min="2313" max="2560" width="9" style="46"/>
    <col min="2561" max="2561" width="1.75" style="46" customWidth="1"/>
    <col min="2562" max="2562" width="15.75" style="46" customWidth="1"/>
    <col min="2563" max="2566" width="10.75" style="46" customWidth="1"/>
    <col min="2567" max="2567" width="12.125" style="46" customWidth="1"/>
    <col min="2568" max="2568" width="10.75" style="46" customWidth="1"/>
    <col min="2569" max="2816" width="9" style="46"/>
    <col min="2817" max="2817" width="1.75" style="46" customWidth="1"/>
    <col min="2818" max="2818" width="15.75" style="46" customWidth="1"/>
    <col min="2819" max="2822" width="10.75" style="46" customWidth="1"/>
    <col min="2823" max="2823" width="12.125" style="46" customWidth="1"/>
    <col min="2824" max="2824" width="10.75" style="46" customWidth="1"/>
    <col min="2825" max="3072" width="9" style="46"/>
    <col min="3073" max="3073" width="1.75" style="46" customWidth="1"/>
    <col min="3074" max="3074" width="15.75" style="46" customWidth="1"/>
    <col min="3075" max="3078" width="10.75" style="46" customWidth="1"/>
    <col min="3079" max="3079" width="12.125" style="46" customWidth="1"/>
    <col min="3080" max="3080" width="10.75" style="46" customWidth="1"/>
    <col min="3081" max="3328" width="9" style="46"/>
    <col min="3329" max="3329" width="1.75" style="46" customWidth="1"/>
    <col min="3330" max="3330" width="15.75" style="46" customWidth="1"/>
    <col min="3331" max="3334" width="10.75" style="46" customWidth="1"/>
    <col min="3335" max="3335" width="12.125" style="46" customWidth="1"/>
    <col min="3336" max="3336" width="10.75" style="46" customWidth="1"/>
    <col min="3337" max="3584" width="9" style="46"/>
    <col min="3585" max="3585" width="1.75" style="46" customWidth="1"/>
    <col min="3586" max="3586" width="15.75" style="46" customWidth="1"/>
    <col min="3587" max="3590" width="10.75" style="46" customWidth="1"/>
    <col min="3591" max="3591" width="12.125" style="46" customWidth="1"/>
    <col min="3592" max="3592" width="10.75" style="46" customWidth="1"/>
    <col min="3593" max="3840" width="9" style="46"/>
    <col min="3841" max="3841" width="1.75" style="46" customWidth="1"/>
    <col min="3842" max="3842" width="15.75" style="46" customWidth="1"/>
    <col min="3843" max="3846" width="10.75" style="46" customWidth="1"/>
    <col min="3847" max="3847" width="12.125" style="46" customWidth="1"/>
    <col min="3848" max="3848" width="10.75" style="46" customWidth="1"/>
    <col min="3849" max="4096" width="9" style="46"/>
    <col min="4097" max="4097" width="1.75" style="46" customWidth="1"/>
    <col min="4098" max="4098" width="15.75" style="46" customWidth="1"/>
    <col min="4099" max="4102" width="10.75" style="46" customWidth="1"/>
    <col min="4103" max="4103" width="12.125" style="46" customWidth="1"/>
    <col min="4104" max="4104" width="10.75" style="46" customWidth="1"/>
    <col min="4105" max="4352" width="9" style="46"/>
    <col min="4353" max="4353" width="1.75" style="46" customWidth="1"/>
    <col min="4354" max="4354" width="15.75" style="46" customWidth="1"/>
    <col min="4355" max="4358" width="10.75" style="46" customWidth="1"/>
    <col min="4359" max="4359" width="12.125" style="46" customWidth="1"/>
    <col min="4360" max="4360" width="10.75" style="46" customWidth="1"/>
    <col min="4361" max="4608" width="9" style="46"/>
    <col min="4609" max="4609" width="1.75" style="46" customWidth="1"/>
    <col min="4610" max="4610" width="15.75" style="46" customWidth="1"/>
    <col min="4611" max="4614" width="10.75" style="46" customWidth="1"/>
    <col min="4615" max="4615" width="12.125" style="46" customWidth="1"/>
    <col min="4616" max="4616" width="10.75" style="46" customWidth="1"/>
    <col min="4617" max="4864" width="9" style="46"/>
    <col min="4865" max="4865" width="1.75" style="46" customWidth="1"/>
    <col min="4866" max="4866" width="15.75" style="46" customWidth="1"/>
    <col min="4867" max="4870" width="10.75" style="46" customWidth="1"/>
    <col min="4871" max="4871" width="12.125" style="46" customWidth="1"/>
    <col min="4872" max="4872" width="10.75" style="46" customWidth="1"/>
    <col min="4873" max="5120" width="9" style="46"/>
    <col min="5121" max="5121" width="1.75" style="46" customWidth="1"/>
    <col min="5122" max="5122" width="15.75" style="46" customWidth="1"/>
    <col min="5123" max="5126" width="10.75" style="46" customWidth="1"/>
    <col min="5127" max="5127" width="12.125" style="46" customWidth="1"/>
    <col min="5128" max="5128" width="10.75" style="46" customWidth="1"/>
    <col min="5129" max="5376" width="9" style="46"/>
    <col min="5377" max="5377" width="1.75" style="46" customWidth="1"/>
    <col min="5378" max="5378" width="15.75" style="46" customWidth="1"/>
    <col min="5379" max="5382" width="10.75" style="46" customWidth="1"/>
    <col min="5383" max="5383" width="12.125" style="46" customWidth="1"/>
    <col min="5384" max="5384" width="10.75" style="46" customWidth="1"/>
    <col min="5385" max="5632" width="9" style="46"/>
    <col min="5633" max="5633" width="1.75" style="46" customWidth="1"/>
    <col min="5634" max="5634" width="15.75" style="46" customWidth="1"/>
    <col min="5635" max="5638" width="10.75" style="46" customWidth="1"/>
    <col min="5639" max="5639" width="12.125" style="46" customWidth="1"/>
    <col min="5640" max="5640" width="10.75" style="46" customWidth="1"/>
    <col min="5641" max="5888" width="9" style="46"/>
    <col min="5889" max="5889" width="1.75" style="46" customWidth="1"/>
    <col min="5890" max="5890" width="15.75" style="46" customWidth="1"/>
    <col min="5891" max="5894" width="10.75" style="46" customWidth="1"/>
    <col min="5895" max="5895" width="12.125" style="46" customWidth="1"/>
    <col min="5896" max="5896" width="10.75" style="46" customWidth="1"/>
    <col min="5897" max="6144" width="9" style="46"/>
    <col min="6145" max="6145" width="1.75" style="46" customWidth="1"/>
    <col min="6146" max="6146" width="15.75" style="46" customWidth="1"/>
    <col min="6147" max="6150" width="10.75" style="46" customWidth="1"/>
    <col min="6151" max="6151" width="12.125" style="46" customWidth="1"/>
    <col min="6152" max="6152" width="10.75" style="46" customWidth="1"/>
    <col min="6153" max="6400" width="9" style="46"/>
    <col min="6401" max="6401" width="1.75" style="46" customWidth="1"/>
    <col min="6402" max="6402" width="15.75" style="46" customWidth="1"/>
    <col min="6403" max="6406" width="10.75" style="46" customWidth="1"/>
    <col min="6407" max="6407" width="12.125" style="46" customWidth="1"/>
    <col min="6408" max="6408" width="10.75" style="46" customWidth="1"/>
    <col min="6409" max="6656" width="9" style="46"/>
    <col min="6657" max="6657" width="1.75" style="46" customWidth="1"/>
    <col min="6658" max="6658" width="15.75" style="46" customWidth="1"/>
    <col min="6659" max="6662" width="10.75" style="46" customWidth="1"/>
    <col min="6663" max="6663" width="12.125" style="46" customWidth="1"/>
    <col min="6664" max="6664" width="10.75" style="46" customWidth="1"/>
    <col min="6665" max="6912" width="9" style="46"/>
    <col min="6913" max="6913" width="1.75" style="46" customWidth="1"/>
    <col min="6914" max="6914" width="15.75" style="46" customWidth="1"/>
    <col min="6915" max="6918" width="10.75" style="46" customWidth="1"/>
    <col min="6919" max="6919" width="12.125" style="46" customWidth="1"/>
    <col min="6920" max="6920" width="10.75" style="46" customWidth="1"/>
    <col min="6921" max="7168" width="9" style="46"/>
    <col min="7169" max="7169" width="1.75" style="46" customWidth="1"/>
    <col min="7170" max="7170" width="15.75" style="46" customWidth="1"/>
    <col min="7171" max="7174" width="10.75" style="46" customWidth="1"/>
    <col min="7175" max="7175" width="12.125" style="46" customWidth="1"/>
    <col min="7176" max="7176" width="10.75" style="46" customWidth="1"/>
    <col min="7177" max="7424" width="9" style="46"/>
    <col min="7425" max="7425" width="1.75" style="46" customWidth="1"/>
    <col min="7426" max="7426" width="15.75" style="46" customWidth="1"/>
    <col min="7427" max="7430" width="10.75" style="46" customWidth="1"/>
    <col min="7431" max="7431" width="12.125" style="46" customWidth="1"/>
    <col min="7432" max="7432" width="10.75" style="46" customWidth="1"/>
    <col min="7433" max="7680" width="9" style="46"/>
    <col min="7681" max="7681" width="1.75" style="46" customWidth="1"/>
    <col min="7682" max="7682" width="15.75" style="46" customWidth="1"/>
    <col min="7683" max="7686" width="10.75" style="46" customWidth="1"/>
    <col min="7687" max="7687" width="12.125" style="46" customWidth="1"/>
    <col min="7688" max="7688" width="10.75" style="46" customWidth="1"/>
    <col min="7689" max="7936" width="9" style="46"/>
    <col min="7937" max="7937" width="1.75" style="46" customWidth="1"/>
    <col min="7938" max="7938" width="15.75" style="46" customWidth="1"/>
    <col min="7939" max="7942" width="10.75" style="46" customWidth="1"/>
    <col min="7943" max="7943" width="12.125" style="46" customWidth="1"/>
    <col min="7944" max="7944" width="10.75" style="46" customWidth="1"/>
    <col min="7945" max="8192" width="9" style="46"/>
    <col min="8193" max="8193" width="1.75" style="46" customWidth="1"/>
    <col min="8194" max="8194" width="15.75" style="46" customWidth="1"/>
    <col min="8195" max="8198" width="10.75" style="46" customWidth="1"/>
    <col min="8199" max="8199" width="12.125" style="46" customWidth="1"/>
    <col min="8200" max="8200" width="10.75" style="46" customWidth="1"/>
    <col min="8201" max="8448" width="9" style="46"/>
    <col min="8449" max="8449" width="1.75" style="46" customWidth="1"/>
    <col min="8450" max="8450" width="15.75" style="46" customWidth="1"/>
    <col min="8451" max="8454" width="10.75" style="46" customWidth="1"/>
    <col min="8455" max="8455" width="12.125" style="46" customWidth="1"/>
    <col min="8456" max="8456" width="10.75" style="46" customWidth="1"/>
    <col min="8457" max="8704" width="9" style="46"/>
    <col min="8705" max="8705" width="1.75" style="46" customWidth="1"/>
    <col min="8706" max="8706" width="15.75" style="46" customWidth="1"/>
    <col min="8707" max="8710" width="10.75" style="46" customWidth="1"/>
    <col min="8711" max="8711" width="12.125" style="46" customWidth="1"/>
    <col min="8712" max="8712" width="10.75" style="46" customWidth="1"/>
    <col min="8713" max="8960" width="9" style="46"/>
    <col min="8961" max="8961" width="1.75" style="46" customWidth="1"/>
    <col min="8962" max="8962" width="15.75" style="46" customWidth="1"/>
    <col min="8963" max="8966" width="10.75" style="46" customWidth="1"/>
    <col min="8967" max="8967" width="12.125" style="46" customWidth="1"/>
    <col min="8968" max="8968" width="10.75" style="46" customWidth="1"/>
    <col min="8969" max="9216" width="9" style="46"/>
    <col min="9217" max="9217" width="1.75" style="46" customWidth="1"/>
    <col min="9218" max="9218" width="15.75" style="46" customWidth="1"/>
    <col min="9219" max="9222" width="10.75" style="46" customWidth="1"/>
    <col min="9223" max="9223" width="12.125" style="46" customWidth="1"/>
    <col min="9224" max="9224" width="10.75" style="46" customWidth="1"/>
    <col min="9225" max="9472" width="9" style="46"/>
    <col min="9473" max="9473" width="1.75" style="46" customWidth="1"/>
    <col min="9474" max="9474" width="15.75" style="46" customWidth="1"/>
    <col min="9475" max="9478" width="10.75" style="46" customWidth="1"/>
    <col min="9479" max="9479" width="12.125" style="46" customWidth="1"/>
    <col min="9480" max="9480" width="10.75" style="46" customWidth="1"/>
    <col min="9481" max="9728" width="9" style="46"/>
    <col min="9729" max="9729" width="1.75" style="46" customWidth="1"/>
    <col min="9730" max="9730" width="15.75" style="46" customWidth="1"/>
    <col min="9731" max="9734" width="10.75" style="46" customWidth="1"/>
    <col min="9735" max="9735" width="12.125" style="46" customWidth="1"/>
    <col min="9736" max="9736" width="10.75" style="46" customWidth="1"/>
    <col min="9737" max="9984" width="9" style="46"/>
    <col min="9985" max="9985" width="1.75" style="46" customWidth="1"/>
    <col min="9986" max="9986" width="15.75" style="46" customWidth="1"/>
    <col min="9987" max="9990" width="10.75" style="46" customWidth="1"/>
    <col min="9991" max="9991" width="12.125" style="46" customWidth="1"/>
    <col min="9992" max="9992" width="10.75" style="46" customWidth="1"/>
    <col min="9993" max="10240" width="9" style="46"/>
    <col min="10241" max="10241" width="1.75" style="46" customWidth="1"/>
    <col min="10242" max="10242" width="15.75" style="46" customWidth="1"/>
    <col min="10243" max="10246" width="10.75" style="46" customWidth="1"/>
    <col min="10247" max="10247" width="12.125" style="46" customWidth="1"/>
    <col min="10248" max="10248" width="10.75" style="46" customWidth="1"/>
    <col min="10249" max="10496" width="9" style="46"/>
    <col min="10497" max="10497" width="1.75" style="46" customWidth="1"/>
    <col min="10498" max="10498" width="15.75" style="46" customWidth="1"/>
    <col min="10499" max="10502" width="10.75" style="46" customWidth="1"/>
    <col min="10503" max="10503" width="12.125" style="46" customWidth="1"/>
    <col min="10504" max="10504" width="10.75" style="46" customWidth="1"/>
    <col min="10505" max="10752" width="9" style="46"/>
    <col min="10753" max="10753" width="1.75" style="46" customWidth="1"/>
    <col min="10754" max="10754" width="15.75" style="46" customWidth="1"/>
    <col min="10755" max="10758" width="10.75" style="46" customWidth="1"/>
    <col min="10759" max="10759" width="12.125" style="46" customWidth="1"/>
    <col min="10760" max="10760" width="10.75" style="46" customWidth="1"/>
    <col min="10761" max="11008" width="9" style="46"/>
    <col min="11009" max="11009" width="1.75" style="46" customWidth="1"/>
    <col min="11010" max="11010" width="15.75" style="46" customWidth="1"/>
    <col min="11011" max="11014" width="10.75" style="46" customWidth="1"/>
    <col min="11015" max="11015" width="12.125" style="46" customWidth="1"/>
    <col min="11016" max="11016" width="10.75" style="46" customWidth="1"/>
    <col min="11017" max="11264" width="9" style="46"/>
    <col min="11265" max="11265" width="1.75" style="46" customWidth="1"/>
    <col min="11266" max="11266" width="15.75" style="46" customWidth="1"/>
    <col min="11267" max="11270" width="10.75" style="46" customWidth="1"/>
    <col min="11271" max="11271" width="12.125" style="46" customWidth="1"/>
    <col min="11272" max="11272" width="10.75" style="46" customWidth="1"/>
    <col min="11273" max="11520" width="9" style="46"/>
    <col min="11521" max="11521" width="1.75" style="46" customWidth="1"/>
    <col min="11522" max="11522" width="15.75" style="46" customWidth="1"/>
    <col min="11523" max="11526" width="10.75" style="46" customWidth="1"/>
    <col min="11527" max="11527" width="12.125" style="46" customWidth="1"/>
    <col min="11528" max="11528" width="10.75" style="46" customWidth="1"/>
    <col min="11529" max="11776" width="9" style="46"/>
    <col min="11777" max="11777" width="1.75" style="46" customWidth="1"/>
    <col min="11778" max="11778" width="15.75" style="46" customWidth="1"/>
    <col min="11779" max="11782" width="10.75" style="46" customWidth="1"/>
    <col min="11783" max="11783" width="12.125" style="46" customWidth="1"/>
    <col min="11784" max="11784" width="10.75" style="46" customWidth="1"/>
    <col min="11785" max="12032" width="9" style="46"/>
    <col min="12033" max="12033" width="1.75" style="46" customWidth="1"/>
    <col min="12034" max="12034" width="15.75" style="46" customWidth="1"/>
    <col min="12035" max="12038" width="10.75" style="46" customWidth="1"/>
    <col min="12039" max="12039" width="12.125" style="46" customWidth="1"/>
    <col min="12040" max="12040" width="10.75" style="46" customWidth="1"/>
    <col min="12041" max="12288" width="9" style="46"/>
    <col min="12289" max="12289" width="1.75" style="46" customWidth="1"/>
    <col min="12290" max="12290" width="15.75" style="46" customWidth="1"/>
    <col min="12291" max="12294" width="10.75" style="46" customWidth="1"/>
    <col min="12295" max="12295" width="12.125" style="46" customWidth="1"/>
    <col min="12296" max="12296" width="10.75" style="46" customWidth="1"/>
    <col min="12297" max="12544" width="9" style="46"/>
    <col min="12545" max="12545" width="1.75" style="46" customWidth="1"/>
    <col min="12546" max="12546" width="15.75" style="46" customWidth="1"/>
    <col min="12547" max="12550" width="10.75" style="46" customWidth="1"/>
    <col min="12551" max="12551" width="12.125" style="46" customWidth="1"/>
    <col min="12552" max="12552" width="10.75" style="46" customWidth="1"/>
    <col min="12553" max="12800" width="9" style="46"/>
    <col min="12801" max="12801" width="1.75" style="46" customWidth="1"/>
    <col min="12802" max="12802" width="15.75" style="46" customWidth="1"/>
    <col min="12803" max="12806" width="10.75" style="46" customWidth="1"/>
    <col min="12807" max="12807" width="12.125" style="46" customWidth="1"/>
    <col min="12808" max="12808" width="10.75" style="46" customWidth="1"/>
    <col min="12809" max="13056" width="9" style="46"/>
    <col min="13057" max="13057" width="1.75" style="46" customWidth="1"/>
    <col min="13058" max="13058" width="15.75" style="46" customWidth="1"/>
    <col min="13059" max="13062" width="10.75" style="46" customWidth="1"/>
    <col min="13063" max="13063" width="12.125" style="46" customWidth="1"/>
    <col min="13064" max="13064" width="10.75" style="46" customWidth="1"/>
    <col min="13065" max="13312" width="9" style="46"/>
    <col min="13313" max="13313" width="1.75" style="46" customWidth="1"/>
    <col min="13314" max="13314" width="15.75" style="46" customWidth="1"/>
    <col min="13315" max="13318" width="10.75" style="46" customWidth="1"/>
    <col min="13319" max="13319" width="12.125" style="46" customWidth="1"/>
    <col min="13320" max="13320" width="10.75" style="46" customWidth="1"/>
    <col min="13321" max="13568" width="9" style="46"/>
    <col min="13569" max="13569" width="1.75" style="46" customWidth="1"/>
    <col min="13570" max="13570" width="15.75" style="46" customWidth="1"/>
    <col min="13571" max="13574" width="10.75" style="46" customWidth="1"/>
    <col min="13575" max="13575" width="12.125" style="46" customWidth="1"/>
    <col min="13576" max="13576" width="10.75" style="46" customWidth="1"/>
    <col min="13577" max="13824" width="9" style="46"/>
    <col min="13825" max="13825" width="1.75" style="46" customWidth="1"/>
    <col min="13826" max="13826" width="15.75" style="46" customWidth="1"/>
    <col min="13827" max="13830" width="10.75" style="46" customWidth="1"/>
    <col min="13831" max="13831" width="12.125" style="46" customWidth="1"/>
    <col min="13832" max="13832" width="10.75" style="46" customWidth="1"/>
    <col min="13833" max="14080" width="9" style="46"/>
    <col min="14081" max="14081" width="1.75" style="46" customWidth="1"/>
    <col min="14082" max="14082" width="15.75" style="46" customWidth="1"/>
    <col min="14083" max="14086" width="10.75" style="46" customWidth="1"/>
    <col min="14087" max="14087" width="12.125" style="46" customWidth="1"/>
    <col min="14088" max="14088" width="10.75" style="46" customWidth="1"/>
    <col min="14089" max="14336" width="9" style="46"/>
    <col min="14337" max="14337" width="1.75" style="46" customWidth="1"/>
    <col min="14338" max="14338" width="15.75" style="46" customWidth="1"/>
    <col min="14339" max="14342" width="10.75" style="46" customWidth="1"/>
    <col min="14343" max="14343" width="12.125" style="46" customWidth="1"/>
    <col min="14344" max="14344" width="10.75" style="46" customWidth="1"/>
    <col min="14345" max="14592" width="9" style="46"/>
    <col min="14593" max="14593" width="1.75" style="46" customWidth="1"/>
    <col min="14594" max="14594" width="15.75" style="46" customWidth="1"/>
    <col min="14595" max="14598" width="10.75" style="46" customWidth="1"/>
    <col min="14599" max="14599" width="12.125" style="46" customWidth="1"/>
    <col min="14600" max="14600" width="10.75" style="46" customWidth="1"/>
    <col min="14601" max="14848" width="9" style="46"/>
    <col min="14849" max="14849" width="1.75" style="46" customWidth="1"/>
    <col min="14850" max="14850" width="15.75" style="46" customWidth="1"/>
    <col min="14851" max="14854" width="10.75" style="46" customWidth="1"/>
    <col min="14855" max="14855" width="12.125" style="46" customWidth="1"/>
    <col min="14856" max="14856" width="10.75" style="46" customWidth="1"/>
    <col min="14857" max="15104" width="9" style="46"/>
    <col min="15105" max="15105" width="1.75" style="46" customWidth="1"/>
    <col min="15106" max="15106" width="15.75" style="46" customWidth="1"/>
    <col min="15107" max="15110" width="10.75" style="46" customWidth="1"/>
    <col min="15111" max="15111" width="12.125" style="46" customWidth="1"/>
    <col min="15112" max="15112" width="10.75" style="46" customWidth="1"/>
    <col min="15113" max="15360" width="9" style="46"/>
    <col min="15361" max="15361" width="1.75" style="46" customWidth="1"/>
    <col min="15362" max="15362" width="15.75" style="46" customWidth="1"/>
    <col min="15363" max="15366" width="10.75" style="46" customWidth="1"/>
    <col min="15367" max="15367" width="12.125" style="46" customWidth="1"/>
    <col min="15368" max="15368" width="10.75" style="46" customWidth="1"/>
    <col min="15369" max="15616" width="9" style="46"/>
    <col min="15617" max="15617" width="1.75" style="46" customWidth="1"/>
    <col min="15618" max="15618" width="15.75" style="46" customWidth="1"/>
    <col min="15619" max="15622" width="10.75" style="46" customWidth="1"/>
    <col min="15623" max="15623" width="12.125" style="46" customWidth="1"/>
    <col min="15624" max="15624" width="10.75" style="46" customWidth="1"/>
    <col min="15625" max="15872" width="9" style="46"/>
    <col min="15873" max="15873" width="1.75" style="46" customWidth="1"/>
    <col min="15874" max="15874" width="15.75" style="46" customWidth="1"/>
    <col min="15875" max="15878" width="10.75" style="46" customWidth="1"/>
    <col min="15879" max="15879" width="12.125" style="46" customWidth="1"/>
    <col min="15880" max="15880" width="10.75" style="46" customWidth="1"/>
    <col min="15881" max="16128" width="9" style="46"/>
    <col min="16129" max="16129" width="1.75" style="46" customWidth="1"/>
    <col min="16130" max="16130" width="15.75" style="46" customWidth="1"/>
    <col min="16131" max="16134" width="10.75" style="46" customWidth="1"/>
    <col min="16135" max="16135" width="12.125" style="46" customWidth="1"/>
    <col min="16136" max="16136" width="10.75" style="46" customWidth="1"/>
    <col min="16137" max="16384" width="9" style="46"/>
  </cols>
  <sheetData>
    <row r="1" spans="1:17" ht="13.5" customHeight="1">
      <c r="A1" s="71"/>
      <c r="B1" s="324" t="s">
        <v>75</v>
      </c>
      <c r="C1" s="324"/>
      <c r="D1" s="324"/>
      <c r="E1" s="324"/>
      <c r="F1" s="324"/>
      <c r="G1" s="324"/>
      <c r="H1" s="324"/>
      <c r="I1" s="71"/>
      <c r="J1" s="72"/>
      <c r="K1" s="71"/>
      <c r="L1" s="71"/>
      <c r="M1" s="71"/>
      <c r="N1" s="71"/>
      <c r="O1" s="71"/>
      <c r="P1" s="71"/>
      <c r="Q1" s="71"/>
    </row>
    <row r="2" spans="1:17" ht="13.5" customHeight="1">
      <c r="B2" s="73" t="s">
        <v>109</v>
      </c>
      <c r="C2" s="74">
        <v>306</v>
      </c>
      <c r="G2" s="75" t="s">
        <v>110</v>
      </c>
      <c r="H2" s="76">
        <v>45897</v>
      </c>
    </row>
    <row r="3" spans="1:17" ht="13.5" customHeight="1">
      <c r="B3" s="77" t="s">
        <v>76</v>
      </c>
      <c r="C3" s="318" t="s">
        <v>111</v>
      </c>
      <c r="D3" s="319"/>
      <c r="E3" s="319"/>
      <c r="F3" s="323"/>
      <c r="G3" s="80" t="s">
        <v>77</v>
      </c>
      <c r="H3" s="80" t="s">
        <v>78</v>
      </c>
      <c r="I3" s="81">
        <f>SUM(H50-(H37+H39+H43+H44))</f>
        <v>5.8705999999999996</v>
      </c>
    </row>
    <row r="4" spans="1:17" ht="13.5" customHeight="1">
      <c r="B4" s="77" t="s">
        <v>79</v>
      </c>
      <c r="C4" s="318" t="str">
        <f>[6]仕様書1!$BX$10</f>
        <v>裏起毛ハタラク黒タイトスキニー70丈</v>
      </c>
      <c r="D4" s="319"/>
      <c r="E4" s="319"/>
      <c r="F4" s="323"/>
      <c r="G4" s="80"/>
      <c r="H4" s="80"/>
    </row>
    <row r="5" spans="1:17" ht="13.5" customHeight="1">
      <c r="B5" s="77" t="s">
        <v>66</v>
      </c>
      <c r="C5" s="318" t="s">
        <v>112</v>
      </c>
      <c r="D5" s="319"/>
      <c r="E5" s="319"/>
      <c r="F5" s="323"/>
      <c r="G5" s="80"/>
      <c r="H5" s="80"/>
    </row>
    <row r="6" spans="1:17" ht="13.5" customHeight="1">
      <c r="B6" s="77" t="s">
        <v>80</v>
      </c>
      <c r="C6" s="318" t="s">
        <v>113</v>
      </c>
      <c r="D6" s="319"/>
      <c r="E6" s="319"/>
      <c r="F6" s="323"/>
      <c r="G6" s="80"/>
      <c r="H6" s="80"/>
    </row>
    <row r="7" spans="1:17" ht="13.5" customHeight="1">
      <c r="B7" s="77" t="s">
        <v>81</v>
      </c>
      <c r="C7" s="212" t="s">
        <v>114</v>
      </c>
      <c r="D7" s="213"/>
      <c r="E7" s="213"/>
      <c r="F7" s="209"/>
      <c r="G7" s="80"/>
      <c r="H7" s="80"/>
    </row>
    <row r="8" spans="1:17" ht="13.5" customHeight="1">
      <c r="B8" s="77" t="s">
        <v>82</v>
      </c>
      <c r="C8" s="318">
        <v>127</v>
      </c>
      <c r="D8" s="319"/>
      <c r="E8" s="319"/>
      <c r="F8" s="79" t="s">
        <v>83</v>
      </c>
      <c r="G8" s="80"/>
      <c r="H8" s="80"/>
    </row>
    <row r="9" spans="1:17">
      <c r="B9" s="77" t="s">
        <v>84</v>
      </c>
      <c r="C9" s="318"/>
      <c r="D9" s="319"/>
      <c r="E9" s="319"/>
      <c r="F9" s="79" t="s">
        <v>85</v>
      </c>
      <c r="G9" s="80"/>
      <c r="H9" s="80"/>
    </row>
    <row r="10" spans="1:17">
      <c r="B10" s="77" t="s">
        <v>86</v>
      </c>
      <c r="C10" s="318">
        <v>3.08</v>
      </c>
      <c r="D10" s="319"/>
      <c r="E10" s="319"/>
      <c r="F10" s="79" t="s">
        <v>85</v>
      </c>
      <c r="G10" s="80"/>
      <c r="H10" s="80"/>
    </row>
    <row r="11" spans="1:17">
      <c r="B11" s="77" t="s">
        <v>67</v>
      </c>
      <c r="C11" s="320">
        <v>1.35</v>
      </c>
      <c r="D11" s="321"/>
      <c r="E11" s="321"/>
      <c r="F11" s="322"/>
      <c r="G11" s="80"/>
      <c r="H11" s="80">
        <f>C10*C11</f>
        <v>4.1580000000000004</v>
      </c>
    </row>
    <row r="12" spans="1:17">
      <c r="B12" s="77" t="s">
        <v>87</v>
      </c>
      <c r="C12" s="82" t="s">
        <v>115</v>
      </c>
      <c r="D12" s="78">
        <v>0.43</v>
      </c>
      <c r="E12" s="78" t="s">
        <v>88</v>
      </c>
      <c r="F12" s="79">
        <v>0.12</v>
      </c>
      <c r="G12" s="80"/>
      <c r="H12" s="80">
        <f>IFERROR(D12*F12,0)</f>
        <v>5.16E-2</v>
      </c>
    </row>
    <row r="13" spans="1:17">
      <c r="B13" s="77" t="s">
        <v>116</v>
      </c>
      <c r="C13" s="82" t="s">
        <v>115</v>
      </c>
      <c r="D13" s="78">
        <v>0.5</v>
      </c>
      <c r="E13" s="78" t="s">
        <v>88</v>
      </c>
      <c r="F13" s="79">
        <v>0.18</v>
      </c>
      <c r="G13" s="80"/>
      <c r="H13" s="80">
        <f>IFERROR(D13*F13,0)</f>
        <v>0.09</v>
      </c>
    </row>
    <row r="14" spans="1:17">
      <c r="B14" s="77" t="s">
        <v>117</v>
      </c>
      <c r="C14" s="82" t="s">
        <v>115</v>
      </c>
      <c r="D14" s="78">
        <v>0.28000000000000003</v>
      </c>
      <c r="E14" s="78" t="s">
        <v>88</v>
      </c>
      <c r="F14" s="79">
        <v>0.02</v>
      </c>
      <c r="G14" s="80"/>
      <c r="H14" s="80">
        <f>IFERROR(D14*F14,0)</f>
        <v>5.6000000000000008E-3</v>
      </c>
    </row>
    <row r="15" spans="1:17">
      <c r="B15" s="77" t="s">
        <v>118</v>
      </c>
      <c r="C15" s="82" t="s">
        <v>115</v>
      </c>
      <c r="D15" s="78"/>
      <c r="E15" s="78" t="s">
        <v>88</v>
      </c>
      <c r="F15" s="79"/>
      <c r="G15" s="80"/>
      <c r="H15" s="80">
        <f>D15*F15</f>
        <v>0</v>
      </c>
    </row>
    <row r="16" spans="1:17">
      <c r="B16" s="77" t="s">
        <v>119</v>
      </c>
      <c r="C16" s="318"/>
      <c r="D16" s="319"/>
      <c r="E16" s="319"/>
      <c r="F16" s="323"/>
      <c r="G16" s="80"/>
      <c r="H16" s="80">
        <v>0</v>
      </c>
    </row>
    <row r="17" spans="2:8">
      <c r="B17" s="77" t="s">
        <v>89</v>
      </c>
      <c r="C17" s="318" t="s">
        <v>120</v>
      </c>
      <c r="D17" s="319"/>
      <c r="E17" s="319"/>
      <c r="F17" s="323"/>
      <c r="G17" s="80"/>
      <c r="H17" s="80">
        <v>7.6700000000000004E-2</v>
      </c>
    </row>
    <row r="18" spans="2:8">
      <c r="B18" s="296" t="s">
        <v>68</v>
      </c>
      <c r="C18" s="300" t="str">
        <f>[6]加工指図!$K$17</f>
        <v>OW(裏洗い) +柔軟</v>
      </c>
      <c r="D18" s="301"/>
      <c r="E18" s="301"/>
      <c r="F18" s="316"/>
      <c r="G18" s="302"/>
      <c r="H18" s="302">
        <v>0.25</v>
      </c>
    </row>
    <row r="19" spans="2:8">
      <c r="B19" s="297"/>
      <c r="C19" s="304"/>
      <c r="D19" s="305"/>
      <c r="E19" s="305"/>
      <c r="F19" s="317"/>
      <c r="G19" s="303"/>
      <c r="H19" s="303"/>
    </row>
    <row r="20" spans="2:8">
      <c r="B20" s="296" t="s">
        <v>90</v>
      </c>
      <c r="C20" s="300" t="s">
        <v>121</v>
      </c>
      <c r="D20" s="301"/>
      <c r="E20" s="301"/>
      <c r="F20" s="83">
        <v>3.44E-2</v>
      </c>
      <c r="G20" s="302"/>
      <c r="H20" s="302">
        <f>SUM(F20:F21)</f>
        <v>3.44E-2</v>
      </c>
    </row>
    <row r="21" spans="2:8">
      <c r="B21" s="297"/>
      <c r="C21" s="304"/>
      <c r="D21" s="305"/>
      <c r="E21" s="305"/>
      <c r="F21" s="84"/>
      <c r="G21" s="303"/>
      <c r="H21" s="303"/>
    </row>
    <row r="22" spans="2:8">
      <c r="B22" s="296" t="s">
        <v>122</v>
      </c>
      <c r="C22" s="300" t="s">
        <v>123</v>
      </c>
      <c r="D22" s="301"/>
      <c r="E22" s="301"/>
      <c r="F22" s="83">
        <v>3.5000000000000003E-2</v>
      </c>
      <c r="G22" s="302"/>
      <c r="H22" s="302">
        <f>SUM(F22,F23,F24)</f>
        <v>0.115</v>
      </c>
    </row>
    <row r="23" spans="2:8">
      <c r="B23" s="306"/>
      <c r="C23" s="314" t="s">
        <v>124</v>
      </c>
      <c r="D23" s="315"/>
      <c r="E23" s="315"/>
      <c r="F23" s="85">
        <v>0.08</v>
      </c>
      <c r="G23" s="307"/>
      <c r="H23" s="307"/>
    </row>
    <row r="24" spans="2:8">
      <c r="B24" s="306"/>
      <c r="C24" s="304"/>
      <c r="D24" s="305"/>
      <c r="E24" s="305"/>
      <c r="F24" s="84"/>
      <c r="G24" s="303"/>
      <c r="H24" s="303"/>
    </row>
    <row r="25" spans="2:8">
      <c r="B25" s="306"/>
      <c r="C25" s="300"/>
      <c r="D25" s="301"/>
      <c r="E25" s="301"/>
      <c r="F25" s="83"/>
      <c r="G25" s="302"/>
      <c r="H25" s="302">
        <f>SUM(F25,F26,F27)</f>
        <v>0</v>
      </c>
    </row>
    <row r="26" spans="2:8">
      <c r="B26" s="306"/>
      <c r="C26" s="314"/>
      <c r="D26" s="315"/>
      <c r="E26" s="315"/>
      <c r="F26" s="85"/>
      <c r="G26" s="307"/>
      <c r="H26" s="307"/>
    </row>
    <row r="27" spans="2:8">
      <c r="B27" s="297"/>
      <c r="C27" s="304"/>
      <c r="D27" s="305"/>
      <c r="E27" s="305"/>
      <c r="F27" s="84"/>
      <c r="G27" s="303"/>
      <c r="H27" s="303"/>
    </row>
    <row r="28" spans="2:8">
      <c r="B28" s="296" t="s">
        <v>69</v>
      </c>
      <c r="C28" s="300" t="s">
        <v>125</v>
      </c>
      <c r="D28" s="301"/>
      <c r="E28" s="301"/>
      <c r="F28" s="83">
        <v>0.01</v>
      </c>
      <c r="G28" s="302"/>
      <c r="H28" s="302">
        <f>SUM(F28,F30,F31)</f>
        <v>0.01</v>
      </c>
    </row>
    <row r="29" spans="2:8">
      <c r="B29" s="306"/>
      <c r="C29" s="312"/>
      <c r="D29" s="313"/>
      <c r="E29" s="313"/>
      <c r="F29" s="86"/>
      <c r="G29" s="307"/>
      <c r="H29" s="307"/>
    </row>
    <row r="30" spans="2:8">
      <c r="B30" s="306"/>
      <c r="C30" s="308"/>
      <c r="D30" s="309"/>
      <c r="E30" s="309"/>
      <c r="F30" s="86"/>
      <c r="G30" s="307"/>
      <c r="H30" s="307"/>
    </row>
    <row r="31" spans="2:8">
      <c r="B31" s="297"/>
      <c r="C31" s="310"/>
      <c r="D31" s="311"/>
      <c r="E31" s="311"/>
      <c r="F31" s="87"/>
      <c r="G31" s="303"/>
      <c r="H31" s="303"/>
    </row>
    <row r="32" spans="2:8">
      <c r="B32" s="306" t="s">
        <v>91</v>
      </c>
      <c r="C32" s="300" t="s">
        <v>126</v>
      </c>
      <c r="D32" s="301"/>
      <c r="E32" s="301"/>
      <c r="F32" s="83">
        <v>8.9999999999999998E-4</v>
      </c>
      <c r="G32" s="302"/>
      <c r="H32" s="302">
        <f>SUM(F32,F33)</f>
        <v>1.8E-3</v>
      </c>
    </row>
    <row r="33" spans="2:8">
      <c r="B33" s="306"/>
      <c r="C33" s="304" t="s">
        <v>127</v>
      </c>
      <c r="D33" s="305"/>
      <c r="E33" s="305"/>
      <c r="F33" s="84">
        <v>8.9999999999999998E-4</v>
      </c>
      <c r="G33" s="303"/>
      <c r="H33" s="303"/>
    </row>
    <row r="34" spans="2:8">
      <c r="B34" s="306"/>
      <c r="C34" s="300"/>
      <c r="D34" s="301"/>
      <c r="E34" s="301"/>
      <c r="F34" s="83"/>
      <c r="G34" s="302"/>
      <c r="H34" s="302">
        <f>SUM(F34,F35,F36)</f>
        <v>0</v>
      </c>
    </row>
    <row r="35" spans="2:8">
      <c r="B35" s="306"/>
      <c r="C35" s="308"/>
      <c r="D35" s="309"/>
      <c r="E35" s="309"/>
      <c r="F35" s="86"/>
      <c r="G35" s="307"/>
      <c r="H35" s="307"/>
    </row>
    <row r="36" spans="2:8">
      <c r="B36" s="297"/>
      <c r="C36" s="310"/>
      <c r="D36" s="311"/>
      <c r="E36" s="311"/>
      <c r="F36" s="87"/>
      <c r="G36" s="303"/>
      <c r="H36" s="303"/>
    </row>
    <row r="37" spans="2:8">
      <c r="B37" s="296" t="s">
        <v>92</v>
      </c>
      <c r="C37" s="300" t="s">
        <v>93</v>
      </c>
      <c r="D37" s="301"/>
      <c r="E37" s="301"/>
      <c r="F37" s="83">
        <v>0.08</v>
      </c>
      <c r="G37" s="302"/>
      <c r="H37" s="302">
        <f>SUM(F37,F38)</f>
        <v>0.09</v>
      </c>
    </row>
    <row r="38" spans="2:8">
      <c r="B38" s="297"/>
      <c r="C38" s="304" t="s">
        <v>94</v>
      </c>
      <c r="D38" s="305"/>
      <c r="E38" s="305"/>
      <c r="F38" s="84">
        <v>0.01</v>
      </c>
      <c r="G38" s="303"/>
      <c r="H38" s="303"/>
    </row>
    <row r="39" spans="2:8">
      <c r="B39" s="77" t="s">
        <v>95</v>
      </c>
      <c r="C39" s="291"/>
      <c r="D39" s="291"/>
      <c r="E39" s="291"/>
      <c r="F39" s="291"/>
      <c r="G39" s="80"/>
      <c r="H39" s="80">
        <v>0.65</v>
      </c>
    </row>
    <row r="40" spans="2:8">
      <c r="B40" s="77" t="s">
        <v>96</v>
      </c>
      <c r="C40" s="291"/>
      <c r="D40" s="291"/>
      <c r="E40" s="291"/>
      <c r="F40" s="291"/>
      <c r="G40" s="80"/>
      <c r="H40" s="80">
        <v>0.85</v>
      </c>
    </row>
    <row r="41" spans="2:8">
      <c r="B41" s="77" t="s">
        <v>97</v>
      </c>
      <c r="C41" s="291"/>
      <c r="D41" s="291"/>
      <c r="E41" s="291"/>
      <c r="F41" s="291"/>
      <c r="G41" s="80"/>
      <c r="H41" s="80">
        <v>0.16</v>
      </c>
    </row>
    <row r="42" spans="2:8">
      <c r="B42" s="296" t="s">
        <v>98</v>
      </c>
      <c r="C42" s="298" t="s">
        <v>99</v>
      </c>
      <c r="D42" s="299"/>
      <c r="E42" s="299"/>
      <c r="F42" s="79">
        <v>0.05</v>
      </c>
      <c r="G42" s="80"/>
      <c r="H42" s="80">
        <f>F42*C11</f>
        <v>6.7500000000000004E-2</v>
      </c>
    </row>
    <row r="43" spans="2:8">
      <c r="B43" s="297"/>
      <c r="C43" s="298" t="s">
        <v>100</v>
      </c>
      <c r="D43" s="299"/>
      <c r="E43" s="299"/>
      <c r="F43" s="79">
        <v>8.1000000000000003E-2</v>
      </c>
      <c r="G43" s="80"/>
      <c r="H43" s="80">
        <v>4.2999999999999997E-2</v>
      </c>
    </row>
    <row r="44" spans="2:8">
      <c r="B44" s="77" t="s">
        <v>101</v>
      </c>
      <c r="C44" s="291" t="s">
        <v>102</v>
      </c>
      <c r="D44" s="291"/>
      <c r="E44" s="291"/>
      <c r="F44" s="291"/>
      <c r="G44" s="80"/>
      <c r="H44" s="80">
        <v>0.1</v>
      </c>
    </row>
    <row r="45" spans="2:8">
      <c r="B45" s="77" t="s">
        <v>70</v>
      </c>
      <c r="C45" s="77" t="s">
        <v>103</v>
      </c>
      <c r="D45" s="289">
        <v>145</v>
      </c>
      <c r="E45" s="290"/>
      <c r="F45" s="79" t="s">
        <v>71</v>
      </c>
      <c r="G45" s="80"/>
      <c r="H45" s="80"/>
    </row>
    <row r="46" spans="2:8">
      <c r="B46" s="77"/>
      <c r="C46" s="291" t="s">
        <v>72</v>
      </c>
      <c r="D46" s="291"/>
      <c r="E46" s="291"/>
      <c r="F46" s="291"/>
      <c r="G46" s="80"/>
      <c r="H46" s="88">
        <f>SUM(H7:H45)</f>
        <v>6.7535999999999996</v>
      </c>
    </row>
    <row r="47" spans="2:8">
      <c r="B47" s="77"/>
      <c r="C47" s="291" t="s">
        <v>104</v>
      </c>
      <c r="D47" s="291"/>
      <c r="E47" s="291"/>
      <c r="F47" s="291"/>
      <c r="G47" s="80"/>
      <c r="H47" s="80">
        <f>H46+(G48/D45)</f>
        <v>6.7535999999999996</v>
      </c>
    </row>
    <row r="48" spans="2:8">
      <c r="B48" s="77"/>
      <c r="C48" s="291" t="s">
        <v>105</v>
      </c>
      <c r="D48" s="291"/>
      <c r="E48" s="291"/>
      <c r="F48" s="291"/>
      <c r="G48" s="80">
        <f>SUM(G4:G47)</f>
        <v>0</v>
      </c>
      <c r="H48" s="80"/>
    </row>
    <row r="49" spans="1:17">
      <c r="G49" s="75"/>
    </row>
    <row r="50" spans="1:17">
      <c r="B50" s="292" t="s">
        <v>128</v>
      </c>
      <c r="C50" s="292"/>
      <c r="D50" s="89"/>
      <c r="E50" s="89" t="s">
        <v>129</v>
      </c>
      <c r="F50" s="89"/>
      <c r="G50" s="42">
        <f>H47*D45</f>
        <v>979.27199999999993</v>
      </c>
      <c r="H50" s="90">
        <f>H47</f>
        <v>6.7535999999999996</v>
      </c>
    </row>
    <row r="51" spans="1:17">
      <c r="B51" s="43" t="s">
        <v>130</v>
      </c>
      <c r="C51" s="293" t="s">
        <v>111</v>
      </c>
      <c r="D51" s="294"/>
      <c r="E51" s="294"/>
      <c r="F51" s="294"/>
      <c r="G51" s="294"/>
      <c r="H51" s="295"/>
    </row>
    <row r="52" spans="1:17">
      <c r="B52" s="43" t="s">
        <v>131</v>
      </c>
      <c r="C52" s="270" t="s">
        <v>132</v>
      </c>
      <c r="D52" s="271"/>
      <c r="E52" s="271"/>
      <c r="F52" s="271"/>
      <c r="G52" s="271"/>
      <c r="H52" s="272"/>
    </row>
    <row r="53" spans="1:17">
      <c r="B53" s="44" t="s">
        <v>133</v>
      </c>
      <c r="C53" s="273">
        <v>2800</v>
      </c>
      <c r="D53" s="274"/>
      <c r="E53" s="274"/>
      <c r="F53" s="274"/>
      <c r="G53" s="274"/>
      <c r="H53" s="275"/>
    </row>
    <row r="54" spans="1:17">
      <c r="B54" s="91"/>
      <c r="C54" s="91"/>
      <c r="D54" s="91"/>
      <c r="E54" s="91"/>
      <c r="F54" s="91"/>
      <c r="G54" s="91"/>
      <c r="H54" s="91"/>
    </row>
    <row r="55" spans="1:17">
      <c r="A55" s="89"/>
      <c r="B55" s="276" t="s">
        <v>134</v>
      </c>
      <c r="C55" s="277"/>
      <c r="D55" s="276" t="s">
        <v>135</v>
      </c>
      <c r="E55" s="278"/>
      <c r="F55" s="277"/>
      <c r="G55" s="276" t="s">
        <v>136</v>
      </c>
      <c r="H55" s="277"/>
    </row>
    <row r="56" spans="1:17" ht="13.5" customHeight="1">
      <c r="A56" s="45"/>
      <c r="B56" s="279">
        <f>ROUNDUP(H47*D45,0)</f>
        <v>980</v>
      </c>
      <c r="C56" s="280"/>
      <c r="D56" s="279">
        <f>B56</f>
        <v>980</v>
      </c>
      <c r="E56" s="283"/>
      <c r="F56" s="280"/>
      <c r="G56" s="285">
        <f>B56+40</f>
        <v>1020</v>
      </c>
      <c r="H56" s="286"/>
    </row>
    <row r="57" spans="1:17" ht="13.5" customHeight="1">
      <c r="A57" s="45"/>
      <c r="B57" s="281"/>
      <c r="C57" s="282"/>
      <c r="D57" s="281"/>
      <c r="E57" s="284"/>
      <c r="F57" s="282"/>
      <c r="G57" s="287"/>
      <c r="H57" s="288"/>
      <c r="M57" s="75"/>
      <c r="N57" s="75"/>
      <c r="O57" s="75"/>
      <c r="P57" s="75"/>
      <c r="Q57" s="75"/>
    </row>
    <row r="58" spans="1:17">
      <c r="A58" s="91"/>
      <c r="B58" s="92"/>
      <c r="C58" s="92"/>
      <c r="D58" s="92"/>
      <c r="E58" s="92"/>
      <c r="F58" s="92"/>
      <c r="G58" s="92"/>
      <c r="H58" s="92"/>
      <c r="M58" s="75"/>
      <c r="N58" s="75"/>
      <c r="O58" s="75"/>
      <c r="P58" s="75"/>
      <c r="Q58" s="75"/>
    </row>
    <row r="59" spans="1:17">
      <c r="B59" s="92"/>
      <c r="C59" s="92"/>
      <c r="D59" s="259" t="s">
        <v>137</v>
      </c>
      <c r="E59" s="260"/>
      <c r="F59" s="261"/>
      <c r="G59" s="93" t="s">
        <v>138</v>
      </c>
      <c r="H59" s="93" t="s">
        <v>139</v>
      </c>
    </row>
    <row r="60" spans="1:17" ht="13.5" customHeight="1">
      <c r="B60" s="92"/>
      <c r="C60" s="92"/>
      <c r="D60" s="262">
        <f>G56*1.08</f>
        <v>1101.6000000000001</v>
      </c>
      <c r="E60" s="263"/>
      <c r="F60" s="264"/>
      <c r="G60" s="268"/>
      <c r="H60" s="269">
        <f>G60/D60</f>
        <v>0</v>
      </c>
    </row>
    <row r="61" spans="1:17" ht="13.5" customHeight="1">
      <c r="B61" s="92"/>
      <c r="C61" s="92"/>
      <c r="D61" s="265"/>
      <c r="E61" s="266"/>
      <c r="F61" s="267"/>
      <c r="G61" s="268"/>
      <c r="H61" s="269"/>
    </row>
    <row r="64" spans="1:17" ht="13.5" customHeight="1">
      <c r="M64" s="75"/>
      <c r="N64" s="75"/>
      <c r="O64" s="75"/>
      <c r="P64" s="75"/>
      <c r="Q64" s="75"/>
    </row>
    <row r="65" spans="13:17" ht="13.5" customHeight="1">
      <c r="M65" s="75"/>
      <c r="N65" s="75"/>
      <c r="O65" s="75"/>
      <c r="P65" s="75"/>
      <c r="Q65" s="75"/>
    </row>
    <row r="66" spans="13:17">
      <c r="M66" s="75"/>
      <c r="N66" s="75"/>
      <c r="O66" s="75"/>
      <c r="P66" s="75"/>
      <c r="Q66" s="75"/>
    </row>
    <row r="67" spans="13:17">
      <c r="M67" s="75"/>
      <c r="N67" s="75"/>
      <c r="O67" s="75"/>
      <c r="P67" s="75"/>
      <c r="Q67" s="75"/>
    </row>
    <row r="68" spans="13:17">
      <c r="M68" s="75"/>
      <c r="N68" s="75"/>
      <c r="O68" s="75"/>
      <c r="P68" s="75"/>
      <c r="Q68" s="75"/>
    </row>
    <row r="69" spans="13:17">
      <c r="M69" s="75"/>
      <c r="N69" s="75"/>
      <c r="O69" s="75"/>
      <c r="P69" s="75"/>
      <c r="Q69" s="75"/>
    </row>
    <row r="78" spans="13:17" ht="13.5" customHeight="1"/>
    <row r="79" spans="13:17" ht="13.5" customHeight="1"/>
    <row r="80" spans="13:17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29.25" customHeight="1"/>
    <row r="95" ht="29.25" customHeight="1"/>
    <row r="96" ht="29.25" customHeight="1"/>
    <row r="97" ht="29.25" customHeight="1"/>
  </sheetData>
  <mergeCells count="80">
    <mergeCell ref="C17:F17"/>
    <mergeCell ref="B1:H1"/>
    <mergeCell ref="C3:F3"/>
    <mergeCell ref="C4:F4"/>
    <mergeCell ref="C5:F5"/>
    <mergeCell ref="C6:F6"/>
    <mergeCell ref="C7:F7"/>
    <mergeCell ref="C8:E8"/>
    <mergeCell ref="C9:E9"/>
    <mergeCell ref="C10:E10"/>
    <mergeCell ref="C11:F11"/>
    <mergeCell ref="C16:F16"/>
    <mergeCell ref="H25:H27"/>
    <mergeCell ref="C26:E26"/>
    <mergeCell ref="B18:B19"/>
    <mergeCell ref="C18:F18"/>
    <mergeCell ref="G18:G19"/>
    <mergeCell ref="H18:H19"/>
    <mergeCell ref="C19:F19"/>
    <mergeCell ref="B20:B21"/>
    <mergeCell ref="C20:E20"/>
    <mergeCell ref="G20:G21"/>
    <mergeCell ref="H20:H21"/>
    <mergeCell ref="C21:E21"/>
    <mergeCell ref="C27:E27"/>
    <mergeCell ref="B28:B31"/>
    <mergeCell ref="C28:E28"/>
    <mergeCell ref="G28:G31"/>
    <mergeCell ref="H28:H31"/>
    <mergeCell ref="C29:E29"/>
    <mergeCell ref="C30:E30"/>
    <mergeCell ref="C31:E31"/>
    <mergeCell ref="B22:B27"/>
    <mergeCell ref="C22:E22"/>
    <mergeCell ref="G22:G24"/>
    <mergeCell ref="H22:H24"/>
    <mergeCell ref="C23:E23"/>
    <mergeCell ref="C24:E24"/>
    <mergeCell ref="C25:E25"/>
    <mergeCell ref="G25:G27"/>
    <mergeCell ref="C39:F39"/>
    <mergeCell ref="B32:B36"/>
    <mergeCell ref="C32:E32"/>
    <mergeCell ref="G32:G33"/>
    <mergeCell ref="H32:H33"/>
    <mergeCell ref="C33:E33"/>
    <mergeCell ref="C34:E34"/>
    <mergeCell ref="G34:G36"/>
    <mergeCell ref="H34:H36"/>
    <mergeCell ref="C35:E35"/>
    <mergeCell ref="C36:E36"/>
    <mergeCell ref="B37:B38"/>
    <mergeCell ref="C37:E37"/>
    <mergeCell ref="G37:G38"/>
    <mergeCell ref="H37:H38"/>
    <mergeCell ref="C38:E38"/>
    <mergeCell ref="C51:H51"/>
    <mergeCell ref="C40:F40"/>
    <mergeCell ref="C41:F41"/>
    <mergeCell ref="B42:B43"/>
    <mergeCell ref="C42:E42"/>
    <mergeCell ref="C43:E43"/>
    <mergeCell ref="C44:F44"/>
    <mergeCell ref="D45:E45"/>
    <mergeCell ref="C46:F46"/>
    <mergeCell ref="C47:F47"/>
    <mergeCell ref="C48:F48"/>
    <mergeCell ref="B50:C50"/>
    <mergeCell ref="D59:F59"/>
    <mergeCell ref="D60:F61"/>
    <mergeCell ref="G60:G61"/>
    <mergeCell ref="H60:H61"/>
    <mergeCell ref="C52:H52"/>
    <mergeCell ref="C53:H53"/>
    <mergeCell ref="B55:C55"/>
    <mergeCell ref="D55:F55"/>
    <mergeCell ref="G55:H55"/>
    <mergeCell ref="B56:C57"/>
    <mergeCell ref="D56:F57"/>
    <mergeCell ref="G56:H57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商品進捗管理表</vt:lpstr>
      <vt:lpstr>決定ラベル</vt:lpstr>
      <vt:lpstr>ラベル付位置</vt:lpstr>
      <vt:lpstr>仮見積もり（BGN)</vt:lpstr>
      <vt:lpstr>ラベル付位置!Print_Area</vt:lpstr>
      <vt:lpstr>商品進捗管理表!Print_Area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TCONRON001</dc:creator>
  <cp:lastModifiedBy>藤井 章彦</cp:lastModifiedBy>
  <cp:lastPrinted>2021-12-12T18:46:08Z</cp:lastPrinted>
  <dcterms:created xsi:type="dcterms:W3CDTF">2020-11-04T08:59:04Z</dcterms:created>
  <dcterms:modified xsi:type="dcterms:W3CDTF">2026-02-19T22:48:06Z</dcterms:modified>
</cp:coreProperties>
</file>