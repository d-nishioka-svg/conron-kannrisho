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RON020\Desktop\"/>
    </mc:Choice>
  </mc:AlternateContent>
  <xr:revisionPtr revIDLastSave="0" documentId="13_ncr:1_{54A3B871-D7D4-4B94-A08D-0C0EE46A64CC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商品進捗管理表" sheetId="42" r:id="rId1"/>
    <sheet name="832807見積" sheetId="43" r:id="rId2"/>
  </sheets>
  <externalReferences>
    <externalReference r:id="rId3"/>
    <externalReference r:id="rId4"/>
    <externalReference r:id="rId5"/>
    <externalReference r:id="rId6"/>
  </externalReferences>
  <definedNames>
    <definedName name="COLOR">#REF!</definedName>
    <definedName name="KATAROGU">#REF!</definedName>
    <definedName name="_xlnm.Print_Area" localSheetId="1">'832807見積'!$C$1:$I$61</definedName>
    <definedName name="_xlnm.Print_Area" localSheetId="0">商品進捗管理表!$B$1:$R$54</definedName>
    <definedName name="SAIZU">#REF!</definedName>
    <definedName name="項目１">#REF!</definedName>
    <definedName name="水着1">[1]水着一覧!$A$1:$AQ$15</definedName>
    <definedName name="担当2" localSheetId="1">[2]PDデータ!$A$1:$K$1</definedName>
    <definedName name="担当2">[3]PDデータ!$A$1:$K$1</definedName>
    <definedName name="担当者" localSheetId="1">[2]PDデータ!$A$1:$I$1</definedName>
    <definedName name="担当者">[3]PDデータ!$A$1:$I$1</definedName>
    <definedName name="担当者3">[4]PDデータ!$A$1:$L$1</definedName>
    <definedName name="品番" localSheetId="1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" i="43" l="1"/>
  <c r="I37" i="43"/>
  <c r="I34" i="43"/>
  <c r="I32" i="43"/>
  <c r="I28" i="43"/>
  <c r="I25" i="43"/>
  <c r="I22" i="43"/>
  <c r="H20" i="43"/>
  <c r="H48" i="43" s="1"/>
  <c r="I15" i="43"/>
  <c r="I14" i="43"/>
  <c r="I13" i="43"/>
  <c r="I12" i="43"/>
  <c r="I46" i="43" s="1"/>
  <c r="I47" i="43" s="1"/>
  <c r="I11" i="43"/>
  <c r="C56" i="43" l="1"/>
  <c r="I50" i="43"/>
  <c r="H50" i="43"/>
  <c r="H56" i="43" l="1"/>
  <c r="E60" i="43" s="1"/>
  <c r="I60" i="43" s="1"/>
  <c r="E56" i="43"/>
  <c r="D12" i="42" l="1"/>
</calcChain>
</file>

<file path=xl/sharedStrings.xml><?xml version="1.0" encoding="utf-8"?>
<sst xmlns="http://schemas.openxmlformats.org/spreadsheetml/2006/main" count="176" uniqueCount="162">
  <si>
    <t>備考</t>
    <rPh sb="0" eb="2">
      <t>ビコウ</t>
    </rPh>
    <phoneticPr fontId="18"/>
  </si>
  <si>
    <t>下代</t>
    <rPh sb="0" eb="1">
      <t>ゲ</t>
    </rPh>
    <rPh sb="1" eb="2">
      <t>ダイ</t>
    </rPh>
    <phoneticPr fontId="18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</si>
  <si>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18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</si>
  <si>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18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</si>
  <si>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18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</si>
  <si>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18"/>
  </si>
  <si>
    <t>申請者名</t>
    <rPh sb="0" eb="3">
      <t>シンセイシャ</t>
    </rPh>
    <rPh sb="3" eb="4">
      <t>メイ</t>
    </rPh>
    <phoneticPr fontId="18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</si>
  <si>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18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</si>
  <si>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18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</si>
  <si>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18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</si>
  <si>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18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</si>
  <si>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18"/>
  </si>
  <si>
    <t>仮見積　①</t>
    <phoneticPr fontId="18"/>
  </si>
  <si>
    <r>
      <rPr>
        <sz val="10"/>
        <color indexed="8"/>
        <rFont val="ＭＳ Ｐゴシック"/>
        <family val="3"/>
        <charset val="128"/>
      </rPr>
      <t>＠￥</t>
    </r>
    <phoneticPr fontId="18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</si>
  <si>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</si>
  <si>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</si>
  <si>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18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</si>
  <si>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18"/>
  </si>
  <si>
    <r>
      <rPr>
        <sz val="10"/>
        <color indexed="8"/>
        <rFont val="ＭＳ Ｐゴシック"/>
        <family val="3"/>
        <charset val="128"/>
      </rPr>
      <t>％</t>
    </r>
    <phoneticPr fontId="18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</si>
  <si>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18"/>
  </si>
  <si>
    <t>M</t>
    <phoneticPr fontId="18"/>
  </si>
  <si>
    <r>
      <rPr>
        <sz val="10"/>
        <color indexed="8"/>
        <rFont val="ＭＳ Ｐゴシック"/>
        <family val="3"/>
        <charset val="128"/>
      </rPr>
      <t>仮見積　②</t>
    </r>
    <phoneticPr fontId="18"/>
  </si>
  <si>
    <r>
      <rPr>
        <sz val="10"/>
        <color indexed="8"/>
        <rFont val="ＭＳ Ｐゴシック"/>
        <family val="3"/>
        <charset val="128"/>
      </rPr>
      <t>初回本数</t>
    </r>
    <phoneticPr fontId="18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</si>
  <si>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18"/>
  </si>
  <si>
    <t>希望納期</t>
    <rPh sb="0" eb="2">
      <t>キボウ</t>
    </rPh>
    <phoneticPr fontId="18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</si>
  <si>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18"/>
  </si>
  <si>
    <t>販売条件</t>
    <rPh sb="0" eb="2">
      <t>ハンバイ</t>
    </rPh>
    <rPh sb="2" eb="4">
      <t>ジョウケン</t>
    </rPh>
    <phoneticPr fontId="18"/>
  </si>
  <si>
    <t>買取</t>
    <rPh sb="0" eb="2">
      <t>カイトリ</t>
    </rPh>
    <phoneticPr fontId="18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</si>
  <si>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18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</si>
  <si>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18"/>
  </si>
  <si>
    <t>（税抜）</t>
    <rPh sb="2" eb="3">
      <t>ヌ</t>
    </rPh>
    <phoneticPr fontId="18"/>
  </si>
  <si>
    <t>品質表示</t>
    <rPh sb="0" eb="2">
      <t>ヒンシツ</t>
    </rPh>
    <rPh sb="2" eb="4">
      <t>ヒョウジ</t>
    </rPh>
    <phoneticPr fontId="18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</si>
  <si>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18"/>
  </si>
  <si>
    <t>25%以上</t>
    <rPh sb="3" eb="5">
      <t>イジョウ</t>
    </rPh>
    <phoneticPr fontId="18"/>
  </si>
  <si>
    <t>販売物流費</t>
    <rPh sb="0" eb="2">
      <t>ハンバイ</t>
    </rPh>
    <rPh sb="2" eb="4">
      <t>ブツリュウ</t>
    </rPh>
    <rPh sb="4" eb="5">
      <t>ヒ</t>
    </rPh>
    <phoneticPr fontId="18"/>
  </si>
  <si>
    <t>生産工場</t>
    <rPh sb="0" eb="2">
      <t>セイサン</t>
    </rPh>
    <rPh sb="2" eb="4">
      <t>コウジョウ</t>
    </rPh>
    <phoneticPr fontId="18"/>
  </si>
  <si>
    <t>生地検査提出</t>
    <rPh sb="0" eb="2">
      <t>キジ</t>
    </rPh>
    <rPh sb="2" eb="4">
      <t>ケンサ</t>
    </rPh>
    <rPh sb="4" eb="6">
      <t>テイシュツ</t>
    </rPh>
    <phoneticPr fontId="18"/>
  </si>
  <si>
    <t>有　　　　/       無</t>
    <rPh sb="0" eb="1">
      <t>アリ</t>
    </rPh>
    <rPh sb="13" eb="14">
      <t>ナ</t>
    </rPh>
    <phoneticPr fontId="18"/>
  </si>
  <si>
    <t>生地検査結果</t>
    <rPh sb="0" eb="2">
      <t>キジ</t>
    </rPh>
    <rPh sb="2" eb="4">
      <t>ケンサ</t>
    </rPh>
    <rPh sb="4" eb="6">
      <t>ケッカ</t>
    </rPh>
    <phoneticPr fontId="18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</si>
  <si>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18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</si>
  <si>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18"/>
  </si>
  <si>
    <t>サンプル　　初回必要日</t>
    <rPh sb="6" eb="8">
      <t>ショカイ</t>
    </rPh>
    <rPh sb="8" eb="10">
      <t>ヒツヨウ</t>
    </rPh>
    <rPh sb="10" eb="11">
      <t>ビ</t>
    </rPh>
    <phoneticPr fontId="18"/>
  </si>
  <si>
    <t>生地決定　　生機発注</t>
    <rPh sb="6" eb="7">
      <t>キ</t>
    </rPh>
    <rPh sb="7" eb="8">
      <t>ハタ</t>
    </rPh>
    <rPh sb="8" eb="10">
      <t>ハッチュウ</t>
    </rPh>
    <phoneticPr fontId="18"/>
  </si>
  <si>
    <t>サンプル　　最終商談</t>
    <rPh sb="6" eb="8">
      <t>サイシュウ</t>
    </rPh>
    <rPh sb="8" eb="10">
      <t>ショウダン</t>
    </rPh>
    <phoneticPr fontId="18"/>
  </si>
  <si>
    <t>デザイン　　　仕様決定</t>
    <rPh sb="7" eb="9">
      <t>シヨウ</t>
    </rPh>
    <rPh sb="9" eb="11">
      <t>ケッテイ</t>
    </rPh>
    <phoneticPr fontId="18"/>
  </si>
  <si>
    <t>販売単価　　決定</t>
    <rPh sb="0" eb="2">
      <t>ハンバイ</t>
    </rPh>
    <rPh sb="2" eb="4">
      <t>タンカ</t>
    </rPh>
    <rPh sb="6" eb="8">
      <t>ケッテイ</t>
    </rPh>
    <phoneticPr fontId="18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</si>
  <si>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18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</si>
  <si>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18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</si>
  <si>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18"/>
  </si>
  <si>
    <t>納期　　　　　　予定日</t>
    <rPh sb="0" eb="2">
      <t>ノウキ</t>
    </rPh>
    <rPh sb="8" eb="10">
      <t>ヨテイ</t>
    </rPh>
    <rPh sb="10" eb="11">
      <t>ビ</t>
    </rPh>
    <phoneticPr fontId="18"/>
  </si>
  <si>
    <t>予定日</t>
    <rPh sb="0" eb="2">
      <t>ヨテイ</t>
    </rPh>
    <rPh sb="2" eb="3">
      <t>ビ</t>
    </rPh>
    <phoneticPr fontId="18"/>
  </si>
  <si>
    <t>実施日</t>
    <rPh sb="0" eb="3">
      <t>ジッシビ</t>
    </rPh>
    <phoneticPr fontId="18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</si>
  <si>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18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</si>
  <si>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18"/>
  </si>
  <si>
    <t>承認欄</t>
    <rPh sb="0" eb="2">
      <t>ショウニン</t>
    </rPh>
    <rPh sb="2" eb="3">
      <t>ラン</t>
    </rPh>
    <phoneticPr fontId="18"/>
  </si>
  <si>
    <t>営業部長</t>
    <rPh sb="0" eb="2">
      <t>エイギョウ</t>
    </rPh>
    <rPh sb="2" eb="4">
      <t>ブチョウ</t>
    </rPh>
    <phoneticPr fontId="18"/>
  </si>
  <si>
    <t>企画部長</t>
    <rPh sb="0" eb="2">
      <t>キカク</t>
    </rPh>
    <rPh sb="2" eb="4">
      <t>ブチョウ</t>
    </rPh>
    <phoneticPr fontId="18"/>
  </si>
  <si>
    <t>生産部長</t>
    <rPh sb="0" eb="2">
      <t>セイサン</t>
    </rPh>
    <rPh sb="2" eb="4">
      <t>ブチョウ</t>
    </rPh>
    <phoneticPr fontId="18"/>
  </si>
  <si>
    <t>サンプル生産</t>
    <rPh sb="4" eb="6">
      <t>セイサン</t>
    </rPh>
    <phoneticPr fontId="18"/>
  </si>
  <si>
    <t>本生産</t>
    <rPh sb="0" eb="1">
      <t>ホン</t>
    </rPh>
    <rPh sb="1" eb="3">
      <t>セイサン</t>
    </rPh>
    <phoneticPr fontId="18"/>
  </si>
  <si>
    <t>企画担当者</t>
    <rPh sb="0" eb="2">
      <t>キカク</t>
    </rPh>
    <rPh sb="2" eb="5">
      <t>タントウシャ</t>
    </rPh>
    <phoneticPr fontId="18"/>
  </si>
  <si>
    <t>社長</t>
    <rPh sb="0" eb="2">
      <t>シャチョウ</t>
    </rPh>
    <phoneticPr fontId="18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</si>
  <si>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18"/>
  </si>
  <si>
    <r>
      <rPr>
        <sz val="10"/>
        <color indexed="8"/>
        <rFont val="ＭＳ Ｐゴシック"/>
        <family val="3"/>
        <charset val="128"/>
      </rPr>
      <t>生地名</t>
    </r>
    <phoneticPr fontId="18"/>
  </si>
  <si>
    <r>
      <rPr>
        <sz val="10"/>
        <color indexed="8"/>
        <rFont val="ＭＳ Ｐゴシック"/>
        <family val="3"/>
        <charset val="128"/>
      </rPr>
      <t>生地品番</t>
    </r>
    <phoneticPr fontId="18"/>
  </si>
  <si>
    <t xml:space="preserve">ボタン </t>
    <phoneticPr fontId="18"/>
  </si>
  <si>
    <t>リベット</t>
    <phoneticPr fontId="18"/>
  </si>
  <si>
    <t>日本原価</t>
    <rPh sb="0" eb="2">
      <t>ニホン</t>
    </rPh>
    <rPh sb="2" eb="4">
      <t>ゲンカ</t>
    </rPh>
    <phoneticPr fontId="18"/>
  </si>
  <si>
    <t>品番</t>
    <rPh sb="0" eb="2">
      <t>ヒンバン</t>
    </rPh>
    <phoneticPr fontId="18"/>
  </si>
  <si>
    <t>品名</t>
    <rPh sb="0" eb="2">
      <t>ヒンメイ</t>
    </rPh>
    <phoneticPr fontId="18"/>
  </si>
  <si>
    <t>上代</t>
    <rPh sb="0" eb="2">
      <t>ジョウダイ</t>
    </rPh>
    <phoneticPr fontId="18"/>
  </si>
  <si>
    <t>インターナショナル</t>
    <phoneticPr fontId="18"/>
  </si>
  <si>
    <t>コーポレーション</t>
    <phoneticPr fontId="18"/>
  </si>
  <si>
    <t>(株)ナカノ</t>
    <rPh sb="1" eb="2">
      <t>カブ</t>
    </rPh>
    <phoneticPr fontId="18"/>
  </si>
  <si>
    <t>粗利率</t>
    <rPh sb="0" eb="2">
      <t>アラリ</t>
    </rPh>
    <rPh sb="2" eb="3">
      <t>リツ</t>
    </rPh>
    <phoneticPr fontId="18"/>
  </si>
  <si>
    <t>＝</t>
    <phoneticPr fontId="18"/>
  </si>
  <si>
    <t>GP765B</t>
    <phoneticPr fontId="52"/>
  </si>
  <si>
    <t>LT/XXヶ月</t>
    <rPh sb="6" eb="7">
      <t>ゲツ</t>
    </rPh>
    <phoneticPr fontId="18"/>
  </si>
  <si>
    <t>No.TB27 KN IBJ BSP E-GLT            YKK・モリト　　単価     14.7円 /個　　　　使用個数/1個</t>
    <rPh sb="45" eb="47">
      <t>タンカ</t>
    </rPh>
    <rPh sb="56" eb="57">
      <t>エン</t>
    </rPh>
    <rPh sb="59" eb="60">
      <t>コ</t>
    </rPh>
    <rPh sb="64" eb="66">
      <t>シヨウ</t>
    </rPh>
    <rPh sb="66" eb="68">
      <t>コスウ</t>
    </rPh>
    <rPh sb="70" eb="71">
      <t>コ</t>
    </rPh>
    <phoneticPr fontId="18"/>
  </si>
  <si>
    <t>No.15ﾊﾞｰGKN IBJ          YKK・モリト　　単価       7.4/個　　　　使用個数/2 個</t>
    <rPh sb="34" eb="36">
      <t>タンカ</t>
    </rPh>
    <rPh sb="47" eb="48">
      <t>コ</t>
    </rPh>
    <rPh sb="52" eb="54">
      <t>シヨウ</t>
    </rPh>
    <rPh sb="54" eb="56">
      <t>コスウ</t>
    </rPh>
    <rPh sb="59" eb="60">
      <t>コ</t>
    </rPh>
    <phoneticPr fontId="18"/>
  </si>
  <si>
    <r>
      <t>営業原価</t>
    </r>
    <r>
      <rPr>
        <b/>
        <sz val="10"/>
        <color indexed="10"/>
        <rFont val="ＭＳ Ｐゴシック"/>
        <family val="3"/>
        <charset val="128"/>
      </rPr>
      <t>（仮見積）</t>
    </r>
    <rPh sb="0" eb="2">
      <t>エイギョウ</t>
    </rPh>
    <rPh sb="2" eb="4">
      <t>ゲンカ</t>
    </rPh>
    <rPh sb="5" eb="6">
      <t>カリ</t>
    </rPh>
    <rPh sb="6" eb="8">
      <t>ミツ</t>
    </rPh>
    <phoneticPr fontId="18"/>
  </si>
  <si>
    <t>CCR　　　/　　　BGN</t>
    <phoneticPr fontId="18"/>
  </si>
  <si>
    <t>洗濯ネーム、ラベル印字に股下は記載しない</t>
    <rPh sb="0" eb="2">
      <t>センタク</t>
    </rPh>
    <rPh sb="9" eb="11">
      <t>インジ</t>
    </rPh>
    <rPh sb="12" eb="13">
      <t>マタ</t>
    </rPh>
    <rPh sb="13" eb="14">
      <t>シタ</t>
    </rPh>
    <rPh sb="15" eb="17">
      <t>キサイ</t>
    </rPh>
    <phoneticPr fontId="18"/>
  </si>
  <si>
    <t>合格（2023年　　月　　日）　　/　　　　不合格   /    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3" eb="36">
      <t>ミケンサ</t>
    </rPh>
    <phoneticPr fontId="18"/>
  </si>
  <si>
    <t>ナカノインターナショナル</t>
  </si>
  <si>
    <t>参考ロットNo.BM-</t>
    <rPh sb="0" eb="2">
      <t>サンコウ</t>
    </rPh>
    <phoneticPr fontId="52"/>
  </si>
  <si>
    <t>24年秋冬見積</t>
    <phoneticPr fontId="52"/>
  </si>
  <si>
    <t>日付</t>
    <rPh sb="0" eb="2">
      <t>ヒツ</t>
    </rPh>
    <phoneticPr fontId="52"/>
  </si>
  <si>
    <t>品　番</t>
  </si>
  <si>
    <t>￥単価</t>
  </si>
  <si>
    <t>$　単価</t>
  </si>
  <si>
    <t>品　名</t>
  </si>
  <si>
    <t>裏フリースUSAコットンカラースリムストレート</t>
    <phoneticPr fontId="52"/>
  </si>
  <si>
    <t>サイズ</t>
  </si>
  <si>
    <t>生　地</t>
  </si>
  <si>
    <t>中国</t>
    <rPh sb="0" eb="2">
      <t>チュウゴク</t>
    </rPh>
    <phoneticPr fontId="52"/>
  </si>
  <si>
    <t>原　反　＃</t>
  </si>
  <si>
    <t>ZXG-32150D-BB</t>
    <phoneticPr fontId="52"/>
  </si>
  <si>
    <t>生　地　幅</t>
  </si>
  <si>
    <t>cm</t>
  </si>
  <si>
    <t>y 　/　＠</t>
  </si>
  <si>
    <t>$</t>
  </si>
  <si>
    <t>m　/　＠</t>
  </si>
  <si>
    <t>要　尺</t>
  </si>
  <si>
    <t>スレーキ</t>
  </si>
  <si>
    <t>＠/m</t>
    <phoneticPr fontId="52"/>
  </si>
  <si>
    <t>X</t>
  </si>
  <si>
    <t>ベルト芯</t>
    <rPh sb="3" eb="4">
      <t>シン</t>
    </rPh>
    <phoneticPr fontId="52"/>
  </si>
  <si>
    <t>芯</t>
    <rPh sb="0" eb="1">
      <t>シン</t>
    </rPh>
    <phoneticPr fontId="52"/>
  </si>
  <si>
    <t>ゴム</t>
    <phoneticPr fontId="52"/>
  </si>
  <si>
    <t>刺繍</t>
    <phoneticPr fontId="52"/>
  </si>
  <si>
    <t>ファスナー</t>
  </si>
  <si>
    <t>3YG</t>
    <phoneticPr fontId="52"/>
  </si>
  <si>
    <t>洗い加工</t>
  </si>
  <si>
    <t>OW柔軟</t>
    <rPh sb="2" eb="4">
      <t>ジュウナン</t>
    </rPh>
    <phoneticPr fontId="52"/>
  </si>
  <si>
    <t>釦　類</t>
  </si>
  <si>
    <t>TB27 KN IBJ</t>
    <phoneticPr fontId="52"/>
  </si>
  <si>
    <t>15BARR-G KN IBJ</t>
    <phoneticPr fontId="52"/>
  </si>
  <si>
    <t>ラベル</t>
  </si>
  <si>
    <t>YR1322B</t>
    <phoneticPr fontId="52"/>
  </si>
  <si>
    <t>CO-5</t>
    <phoneticPr fontId="52"/>
  </si>
  <si>
    <t>ネーム</t>
  </si>
  <si>
    <t>サテンテープ</t>
    <phoneticPr fontId="52"/>
  </si>
  <si>
    <t>付　属　類</t>
  </si>
  <si>
    <t>OP-A</t>
    <phoneticPr fontId="52"/>
  </si>
  <si>
    <t>UX-7</t>
    <phoneticPr fontId="52"/>
  </si>
  <si>
    <t>雑　費</t>
  </si>
  <si>
    <t>ケース代</t>
  </si>
  <si>
    <t>袋 代</t>
  </si>
  <si>
    <t>加　工　賃</t>
  </si>
  <si>
    <t>経　費</t>
  </si>
  <si>
    <t>糸　代</t>
  </si>
  <si>
    <t>陸送賃</t>
  </si>
  <si>
    <t>チッタゴン～イショルディ</t>
  </si>
  <si>
    <t>イショルディ～チッタゴン</t>
  </si>
  <si>
    <t>海　運　賃</t>
  </si>
  <si>
    <t>バングラ～日本</t>
  </si>
  <si>
    <t>備考</t>
  </si>
  <si>
    <t>1$</t>
  </si>
  <si>
    <t>円</t>
  </si>
  <si>
    <t>合計</t>
  </si>
  <si>
    <t xml:space="preserve">   原価単価＄　</t>
  </si>
  <si>
    <t>日本付属単価</t>
  </si>
  <si>
    <t>裏フリースカラーストレート72丈</t>
    <phoneticPr fontId="52"/>
  </si>
  <si>
    <t>営業原価8%</t>
    <rPh sb="0" eb="4">
      <t>エイギョウゲンカ</t>
    </rPh>
    <phoneticPr fontId="52"/>
  </si>
  <si>
    <t>販売単価</t>
    <rPh sb="0" eb="2">
      <t>ハンバイ</t>
    </rPh>
    <rPh sb="2" eb="4">
      <t>タンカ</t>
    </rPh>
    <phoneticPr fontId="52"/>
  </si>
  <si>
    <t>粗利率</t>
    <rPh sb="0" eb="3">
      <t>アラリリツ</t>
    </rPh>
    <phoneticPr fontId="52"/>
  </si>
  <si>
    <t>61-73</t>
    <phoneticPr fontId="52"/>
  </si>
  <si>
    <t>NO.05121L</t>
    <phoneticPr fontId="18"/>
  </si>
  <si>
    <t>垣井</t>
    <rPh sb="0" eb="1">
      <t>カキ</t>
    </rPh>
    <rPh sb="1" eb="2">
      <t>イ</t>
    </rPh>
    <phoneticPr fontId="18"/>
  </si>
  <si>
    <t>裏トリコットカラーストレート72丈</t>
    <rPh sb="0" eb="1">
      <t>ウラ</t>
    </rPh>
    <rPh sb="16" eb="17">
      <t>タケ</t>
    </rPh>
    <phoneticPr fontId="18"/>
  </si>
  <si>
    <t>ブラック/ベージュ/カーキ</t>
    <phoneticPr fontId="18"/>
  </si>
  <si>
    <t>61～73cm</t>
    <phoneticPr fontId="18"/>
  </si>
  <si>
    <t>72cm</t>
    <phoneticPr fontId="18"/>
  </si>
  <si>
    <t>ZXG-32150D-BB</t>
    <phoneticPr fontId="18"/>
  </si>
  <si>
    <t>CL＆C定番</t>
    <rPh sb="4" eb="6">
      <t>テイバン</t>
    </rPh>
    <phoneticPr fontId="18"/>
  </si>
  <si>
    <t>裏トリコットカラー起毛</t>
    <rPh sb="0" eb="1">
      <t>ウラ</t>
    </rPh>
    <rPh sb="9" eb="11">
      <t>キモウ</t>
    </rPh>
    <phoneticPr fontId="18"/>
  </si>
  <si>
    <t>832707品番(ストレート)横並び商品。</t>
    <rPh sb="6" eb="8">
      <t>ヒンバン</t>
    </rPh>
    <rPh sb="15" eb="17">
      <t>ヨコナラ</t>
    </rPh>
    <rPh sb="18" eb="20">
      <t>ショウヒン</t>
    </rPh>
    <phoneticPr fontId="22"/>
  </si>
  <si>
    <t>・ラベルも832707品番と同じ。</t>
    <rPh sb="11" eb="13">
      <t>ヒンバン</t>
    </rPh>
    <rPh sb="14" eb="15">
      <t>オナ</t>
    </rPh>
    <phoneticPr fontId="22"/>
  </si>
  <si>
    <t>・ブラック64cm１本サンプル作成する。</t>
    <rPh sb="10" eb="11">
      <t>ホン</t>
    </rPh>
    <rPh sb="15" eb="17">
      <t>サクセイ</t>
    </rPh>
    <phoneticPr fontId="22"/>
  </si>
  <si>
    <t>※風合いが柔らかくなるように注意。</t>
    <rPh sb="1" eb="3">
      <t>フウア</t>
    </rPh>
    <rPh sb="5" eb="6">
      <t>ヤワ</t>
    </rPh>
    <rPh sb="14" eb="16">
      <t>チュウイ</t>
    </rPh>
    <phoneticPr fontId="22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</si>
  <si>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三岳</t>
    </r>
    <rPh sb="0" eb="2">
      <t>ヨコミゾ</t>
    </rPh>
    <rPh sb="5" eb="7">
      <t>ミタケ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</si>
</sst>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0.0%"/>
    <numFmt numFmtId="178" formatCode="m/d;@"/>
    <numFmt numFmtId="179" formatCode="m&quot;月&quot;d&quot;日&quot;;@"/>
    <numFmt numFmtId="180" formatCode="#,##0.00_);[Red]\(#,##0.00\)"/>
  </numFmts>
  <fonts count="76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HGPｺﾞｼｯｸM"/>
      <family val="2"/>
      <charset val="128"/>
    </font>
    <font>
      <sz val="11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b/>
      <sz val="8"/>
      <color rgb="FFFF0000"/>
      <name val="游ゴシック"/>
      <family val="3"/>
      <charset val="128"/>
      <scheme val="minor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color indexed="8"/>
      <name val="Arial"/>
      <family val="3"/>
      <charset val="128"/>
    </font>
    <font>
      <sz val="10"/>
      <color theme="1"/>
      <name val="ＭＳ Ｐゴシック"/>
      <family val="2"/>
      <charset val="128"/>
    </font>
    <font>
      <sz val="10"/>
      <color rgb="FFFF0000"/>
      <name val="Arial"/>
      <family val="2"/>
      <charset val="128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indexed="8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indexed="8"/>
      <name val="ＭＳ Ｐ明朝"/>
      <family val="1"/>
      <charset val="128"/>
    </font>
    <font>
      <sz val="14"/>
      <color indexed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6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51" fillId="0" borderId="0">
      <alignment vertical="center"/>
    </xf>
    <xf numFmtId="0" fontId="15" fillId="0" borderId="0">
      <alignment vertical="center"/>
    </xf>
    <xf numFmtId="0" fontId="51" fillId="0" borderId="0"/>
    <xf numFmtId="0" fontId="51" fillId="0" borderId="0"/>
    <xf numFmtId="6" fontId="16" fillId="0" borderId="0" applyFont="0" applyFill="0" applyBorder="0" applyAlignment="0" applyProtection="0">
      <alignment vertical="center"/>
    </xf>
    <xf numFmtId="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38" fontId="5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82">
    <xf numFmtId="0" fontId="0" fillId="0" borderId="0" xfId="0">
      <alignment vertical="center"/>
    </xf>
    <xf numFmtId="0" fontId="28" fillId="0" borderId="1" xfId="8" applyFont="1" applyBorder="1" applyAlignment="1">
      <alignment horizontal="center" shrinkToFit="1"/>
    </xf>
    <xf numFmtId="0" fontId="28" fillId="0" borderId="0" xfId="8" applyFont="1" applyAlignment="1">
      <alignment vertical="center" shrinkToFit="1"/>
    </xf>
    <xf numFmtId="0" fontId="32" fillId="3" borderId="3" xfId="8" applyFont="1" applyFill="1" applyBorder="1" applyAlignment="1">
      <alignment vertical="center" shrinkToFit="1"/>
    </xf>
    <xf numFmtId="0" fontId="33" fillId="0" borderId="0" xfId="8" applyFont="1" applyAlignment="1">
      <alignment horizontal="center" vertical="center" shrinkToFit="1"/>
    </xf>
    <xf numFmtId="0" fontId="30" fillId="0" borderId="0" xfId="8" applyFont="1" applyAlignment="1">
      <alignment shrinkToFit="1"/>
    </xf>
    <xf numFmtId="0" fontId="36" fillId="0" borderId="2" xfId="8" applyFont="1" applyBorder="1" applyAlignment="1">
      <alignment horizontal="center" vertical="center" shrinkToFit="1"/>
    </xf>
    <xf numFmtId="49" fontId="30" fillId="0" borderId="7" xfId="8" applyNumberFormat="1" applyFont="1" applyBorder="1" applyAlignment="1">
      <alignment horizontal="center" vertical="center" shrinkToFit="1"/>
    </xf>
    <xf numFmtId="0" fontId="37" fillId="0" borderId="7" xfId="8" applyFont="1" applyBorder="1" applyAlignment="1">
      <alignment horizontal="center" vertical="center" shrinkToFit="1"/>
    </xf>
    <xf numFmtId="0" fontId="30" fillId="0" borderId="7" xfId="8" applyFont="1" applyBorder="1" applyAlignment="1">
      <alignment vertical="center" shrinkToFit="1"/>
    </xf>
    <xf numFmtId="0" fontId="30" fillId="0" borderId="2" xfId="8" applyFont="1" applyBorder="1" applyAlignment="1">
      <alignment horizontal="center" vertical="center" shrinkToFit="1"/>
    </xf>
    <xf numFmtId="0" fontId="30" fillId="0" borderId="8" xfId="8" applyFont="1" applyBorder="1" applyAlignment="1">
      <alignment vertical="center" shrinkToFit="1"/>
    </xf>
    <xf numFmtId="0" fontId="30" fillId="0" borderId="7" xfId="8" applyFont="1" applyBorder="1" applyAlignment="1">
      <alignment horizontal="center" vertical="center" shrinkToFit="1"/>
    </xf>
    <xf numFmtId="14" fontId="30" fillId="0" borderId="4" xfId="8" applyNumberFormat="1" applyFont="1" applyBorder="1" applyAlignment="1">
      <alignment horizontal="center" shrinkToFit="1"/>
    </xf>
    <xf numFmtId="0" fontId="48" fillId="0" borderId="6" xfId="8" applyFont="1" applyBorder="1" applyAlignment="1">
      <alignment horizontal="center" vertical="center" wrapText="1" shrinkToFit="1"/>
    </xf>
    <xf numFmtId="178" fontId="36" fillId="0" borderId="3" xfId="8" applyNumberFormat="1" applyFont="1" applyBorder="1" applyAlignment="1">
      <alignment horizontal="center" vertical="center" shrinkToFit="1"/>
    </xf>
    <xf numFmtId="0" fontId="30" fillId="3" borderId="4" xfId="8" applyFont="1" applyFill="1" applyBorder="1" applyAlignment="1">
      <alignment horizontal="center" vertical="center" shrinkToFit="1"/>
    </xf>
    <xf numFmtId="178" fontId="30" fillId="0" borderId="23" xfId="8" applyNumberFormat="1" applyFont="1" applyBorder="1" applyAlignment="1">
      <alignment horizontal="center" vertical="center" shrinkToFit="1"/>
    </xf>
    <xf numFmtId="0" fontId="49" fillId="0" borderId="0" xfId="8" applyFont="1" applyAlignment="1">
      <alignment shrinkToFit="1"/>
    </xf>
    <xf numFmtId="178" fontId="30" fillId="0" borderId="24" xfId="8" applyNumberFormat="1" applyFont="1" applyBorder="1" applyAlignment="1">
      <alignment horizontal="center" vertical="center" shrinkToFit="1"/>
    </xf>
    <xf numFmtId="0" fontId="28" fillId="0" borderId="0" xfId="8" applyFont="1">
      <alignment vertical="center"/>
    </xf>
    <xf numFmtId="178" fontId="30" fillId="0" borderId="25" xfId="8" applyNumberFormat="1" applyFont="1" applyBorder="1" applyAlignment="1">
      <alignment horizontal="center" vertical="center" shrinkToFit="1"/>
    </xf>
    <xf numFmtId="0" fontId="36" fillId="3" borderId="3" xfId="8" applyFont="1" applyFill="1" applyBorder="1" applyAlignment="1">
      <alignment horizontal="center" vertical="center" shrinkToFit="1"/>
    </xf>
    <xf numFmtId="178" fontId="30" fillId="0" borderId="3" xfId="8" applyNumberFormat="1" applyFont="1" applyBorder="1" applyAlignment="1">
      <alignment horizontal="center" vertical="center" shrinkToFit="1"/>
    </xf>
    <xf numFmtId="178" fontId="30" fillId="0" borderId="6" xfId="8" applyNumberFormat="1" applyFont="1" applyBorder="1" applyAlignment="1">
      <alignment horizontal="center" vertical="center" shrinkToFit="1"/>
    </xf>
    <xf numFmtId="0" fontId="25" fillId="0" borderId="0" xfId="8" applyFont="1" applyAlignment="1">
      <alignment horizontal="center" shrinkToFit="1"/>
    </xf>
    <xf numFmtId="0" fontId="30" fillId="0" borderId="0" xfId="8" applyFont="1" applyAlignment="1">
      <alignment horizontal="center" shrinkToFit="1"/>
    </xf>
    <xf numFmtId="0" fontId="31" fillId="0" borderId="0" xfId="8" applyFont="1" applyAlignment="1">
      <alignment horizontal="left" vertical="top" shrinkToFit="1"/>
    </xf>
    <xf numFmtId="0" fontId="30" fillId="0" borderId="0" xfId="8" applyFont="1" applyAlignment="1">
      <alignment horizontal="center" vertical="center" wrapText="1" shrinkToFit="1"/>
    </xf>
    <xf numFmtId="0" fontId="28" fillId="3" borderId="4" xfId="8" applyFont="1" applyFill="1" applyBorder="1">
      <alignment vertical="center"/>
    </xf>
    <xf numFmtId="0" fontId="28" fillId="3" borderId="16" xfId="8" applyFont="1" applyFill="1" applyBorder="1">
      <alignment vertical="center"/>
    </xf>
    <xf numFmtId="0" fontId="28" fillId="3" borderId="14" xfId="8" applyFont="1" applyFill="1" applyBorder="1">
      <alignment vertical="center"/>
    </xf>
    <xf numFmtId="0" fontId="49" fillId="0" borderId="0" xfId="8" applyFont="1" applyAlignment="1"/>
    <xf numFmtId="0" fontId="30" fillId="0" borderId="0" xfId="8" applyFont="1" applyAlignment="1">
      <alignment horizontal="center" vertical="center"/>
    </xf>
    <xf numFmtId="0" fontId="30" fillId="0" borderId="0" xfId="8" applyFont="1" applyAlignment="1">
      <alignment horizontal="center" vertical="center" shrinkToFit="1"/>
    </xf>
    <xf numFmtId="0" fontId="48" fillId="0" borderId="0" xfId="8" applyFont="1" applyAlignment="1">
      <alignment horizontal="center" vertical="center" wrapText="1" shrinkToFit="1"/>
    </xf>
    <xf numFmtId="0" fontId="36" fillId="0" borderId="0" xfId="8" applyFont="1" applyAlignment="1">
      <alignment horizontal="center" vertical="center" shrinkToFit="1"/>
    </xf>
    <xf numFmtId="0" fontId="16" fillId="0" borderId="0" xfId="27">
      <alignment vertical="center"/>
    </xf>
    <xf numFmtId="0" fontId="16" fillId="0" borderId="0" xfId="2">
      <alignment vertical="center"/>
    </xf>
    <xf numFmtId="0" fontId="55" fillId="0" borderId="0" xfId="2" applyFont="1">
      <alignment vertical="center"/>
    </xf>
    <xf numFmtId="14" fontId="36" fillId="0" borderId="3" xfId="0" applyNumberFormat="1" applyFont="1" applyBorder="1" applyAlignment="1">
      <alignment horizontal="center" vertical="center" shrinkToFit="1"/>
    </xf>
    <xf numFmtId="176" fontId="21" fillId="0" borderId="14" xfId="0" applyNumberFormat="1" applyFont="1" applyBorder="1" applyAlignment="1">
      <alignment horizontal="right" vertical="center"/>
    </xf>
    <xf numFmtId="0" fontId="21" fillId="0" borderId="14" xfId="0" applyFont="1" applyBorder="1" applyAlignment="1">
      <alignment horizontal="right" vertical="center"/>
    </xf>
    <xf numFmtId="176" fontId="21" fillId="5" borderId="14" xfId="0" applyNumberFormat="1" applyFont="1" applyFill="1" applyBorder="1" applyAlignment="1">
      <alignment horizontal="right" vertical="center"/>
    </xf>
    <xf numFmtId="0" fontId="64" fillId="0" borderId="14" xfId="0" applyFont="1" applyBorder="1" applyAlignment="1">
      <alignment horizontal="center" vertical="center"/>
    </xf>
    <xf numFmtId="177" fontId="21" fillId="0" borderId="14" xfId="0" applyNumberFormat="1" applyFont="1" applyBorder="1" applyAlignment="1">
      <alignment horizontal="right" vertical="center"/>
    </xf>
    <xf numFmtId="0" fontId="43" fillId="0" borderId="14" xfId="0" applyFont="1" applyBorder="1" applyAlignment="1">
      <alignment horizontal="center" vertical="center" shrinkToFit="1"/>
    </xf>
    <xf numFmtId="0" fontId="28" fillId="0" borderId="0" xfId="0" applyFont="1">
      <alignment vertical="center"/>
    </xf>
    <xf numFmtId="178" fontId="63" fillId="0" borderId="24" xfId="8" applyNumberFormat="1" applyFont="1" applyBorder="1" applyAlignment="1">
      <alignment horizontal="center" vertical="center" shrinkToFit="1"/>
    </xf>
    <xf numFmtId="178" fontId="65" fillId="0" borderId="24" xfId="8" applyNumberFormat="1" applyFont="1" applyBorder="1" applyAlignment="1">
      <alignment horizontal="center" vertical="center" shrinkToFit="1"/>
    </xf>
    <xf numFmtId="178" fontId="68" fillId="0" borderId="24" xfId="8" applyNumberFormat="1" applyFont="1" applyBorder="1" applyAlignment="1">
      <alignment horizontal="center" vertical="center" shrinkToFit="1"/>
    </xf>
    <xf numFmtId="178" fontId="38" fillId="0" borderId="24" xfId="8" applyNumberFormat="1" applyFont="1" applyBorder="1" applyAlignment="1">
      <alignment horizontal="center" vertical="center" shrinkToFit="1"/>
    </xf>
    <xf numFmtId="0" fontId="54" fillId="0" borderId="2" xfId="1" applyFont="1" applyBorder="1" applyAlignment="1">
      <alignment horizontal="center" vertical="center" shrinkToFit="1"/>
    </xf>
    <xf numFmtId="0" fontId="54" fillId="0" borderId="4" xfId="1" applyFont="1" applyBorder="1" applyAlignment="1">
      <alignment horizontal="center" vertical="center" shrinkToFit="1"/>
    </xf>
    <xf numFmtId="0" fontId="71" fillId="0" borderId="0" xfId="45" applyFont="1">
      <alignment vertical="center"/>
    </xf>
    <xf numFmtId="0" fontId="72" fillId="0" borderId="0" xfId="27" applyFont="1">
      <alignment vertical="center"/>
    </xf>
    <xf numFmtId="0" fontId="70" fillId="0" borderId="0" xfId="45" applyFont="1">
      <alignment vertical="center"/>
    </xf>
    <xf numFmtId="0" fontId="1" fillId="2" borderId="0" xfId="45" applyFill="1" applyAlignment="1">
      <alignment horizontal="right" vertical="center" shrinkToFit="1"/>
    </xf>
    <xf numFmtId="0" fontId="1" fillId="2" borderId="0" xfId="45" applyFill="1" applyAlignment="1">
      <alignment horizontal="left" vertical="center"/>
    </xf>
    <xf numFmtId="0" fontId="1" fillId="2" borderId="0" xfId="45" applyFill="1" applyAlignment="1">
      <alignment horizontal="center" vertical="center"/>
    </xf>
    <xf numFmtId="179" fontId="1" fillId="2" borderId="0" xfId="45" applyNumberFormat="1" applyFill="1" applyAlignment="1">
      <alignment horizontal="center" vertical="center"/>
    </xf>
    <xf numFmtId="0" fontId="1" fillId="0" borderId="0" xfId="45">
      <alignment vertical="center"/>
    </xf>
    <xf numFmtId="0" fontId="1" fillId="0" borderId="3" xfId="45" applyBorder="1" applyAlignment="1">
      <alignment horizontal="center" vertical="center"/>
    </xf>
    <xf numFmtId="0" fontId="1" fillId="0" borderId="31" xfId="45" applyBorder="1" applyAlignment="1">
      <alignment horizontal="center" vertical="center"/>
    </xf>
    <xf numFmtId="0" fontId="1" fillId="0" borderId="29" xfId="45" applyBorder="1" applyAlignment="1">
      <alignment horizontal="center" vertical="center"/>
    </xf>
    <xf numFmtId="2" fontId="1" fillId="0" borderId="3" xfId="45" applyNumberFormat="1" applyBorder="1" applyAlignment="1">
      <alignment horizontal="center" vertical="center"/>
    </xf>
    <xf numFmtId="49" fontId="1" fillId="0" borderId="30" xfId="45" applyNumberFormat="1" applyBorder="1" applyAlignment="1">
      <alignment horizontal="center" vertical="center"/>
    </xf>
    <xf numFmtId="0" fontId="1" fillId="0" borderId="34" xfId="45" applyBorder="1" applyAlignment="1">
      <alignment horizontal="center" vertical="center"/>
    </xf>
    <xf numFmtId="0" fontId="1" fillId="0" borderId="37" xfId="45" applyBorder="1" applyAlignment="1">
      <alignment horizontal="center" vertical="center"/>
    </xf>
    <xf numFmtId="0" fontId="1" fillId="0" borderId="40" xfId="45" applyBorder="1" applyAlignment="1">
      <alignment horizontal="center" vertical="center"/>
    </xf>
    <xf numFmtId="0" fontId="1" fillId="0" borderId="43" xfId="45" applyBorder="1" applyAlignment="1">
      <alignment horizontal="center" vertical="center"/>
    </xf>
    <xf numFmtId="0" fontId="1" fillId="0" borderId="46" xfId="45" applyBorder="1" applyAlignment="1">
      <alignment horizontal="center" vertical="center"/>
    </xf>
    <xf numFmtId="2" fontId="73" fillId="0" borderId="3" xfId="45" applyNumberFormat="1" applyFont="1" applyBorder="1" applyAlignment="1">
      <alignment horizontal="center" vertical="center"/>
    </xf>
    <xf numFmtId="0" fontId="1" fillId="0" borderId="0" xfId="45" applyAlignment="1">
      <alignment horizontal="center" vertical="center"/>
    </xf>
    <xf numFmtId="7" fontId="58" fillId="0" borderId="0" xfId="1" applyNumberFormat="1" applyFont="1">
      <alignment vertical="center"/>
    </xf>
    <xf numFmtId="180" fontId="59" fillId="0" borderId="0" xfId="1" applyNumberFormat="1" applyFont="1">
      <alignment vertical="center"/>
    </xf>
    <xf numFmtId="0" fontId="54" fillId="0" borderId="13" xfId="1" applyFont="1" applyBorder="1" applyAlignment="1">
      <alignment vertical="center" shrinkToFit="1"/>
    </xf>
    <xf numFmtId="0" fontId="16" fillId="0" borderId="3" xfId="27" applyBorder="1" applyAlignment="1">
      <alignment horizontal="center" vertical="center"/>
    </xf>
    <xf numFmtId="0" fontId="16" fillId="2" borderId="3" xfId="27" applyFill="1" applyBorder="1" applyAlignment="1">
      <alignment horizontal="center" vertical="center"/>
    </xf>
    <xf numFmtId="2" fontId="1" fillId="0" borderId="0" xfId="45" applyNumberFormat="1" applyAlignment="1">
      <alignment horizontal="center" vertical="center"/>
    </xf>
    <xf numFmtId="0" fontId="23" fillId="0" borderId="15" xfId="8" applyFont="1" applyBorder="1" applyAlignment="1">
      <alignment horizontal="center" shrinkToFit="1"/>
    </xf>
    <xf numFmtId="0" fontId="25" fillId="0" borderId="15" xfId="8" applyFont="1" applyBorder="1" applyAlignment="1">
      <alignment horizontal="center" shrinkToFit="1"/>
    </xf>
    <xf numFmtId="0" fontId="26" fillId="0" borderId="0" xfId="8" applyFont="1" applyAlignment="1">
      <alignment horizontal="left" shrinkToFit="1"/>
    </xf>
    <xf numFmtId="0" fontId="27" fillId="0" borderId="0" xfId="1" applyFont="1" applyAlignment="1">
      <alignment shrinkToFit="1"/>
    </xf>
    <xf numFmtId="0" fontId="16" fillId="0" borderId="1" xfId="8" applyFon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29" fillId="0" borderId="1" xfId="8" applyFont="1" applyBorder="1" applyAlignment="1">
      <alignment horizontal="center" shrinkToFit="1"/>
    </xf>
    <xf numFmtId="0" fontId="29" fillId="0" borderId="4" xfId="8" applyFont="1" applyBorder="1" applyAlignment="1">
      <alignment horizontal="center" vertical="center" shrinkToFit="1"/>
    </xf>
    <xf numFmtId="0" fontId="28" fillId="0" borderId="16" xfId="8" applyFont="1" applyBorder="1" applyAlignment="1">
      <alignment horizontal="center" vertical="center" shrinkToFit="1"/>
    </xf>
    <xf numFmtId="0" fontId="28" fillId="0" borderId="14" xfId="8" applyFont="1" applyBorder="1" applyAlignment="1">
      <alignment horizontal="center" vertical="center" shrinkToFit="1"/>
    </xf>
    <xf numFmtId="0" fontId="28" fillId="3" borderId="4" xfId="8" applyFont="1" applyFill="1" applyBorder="1" applyAlignment="1">
      <alignment horizontal="center" vertical="center" shrinkToFit="1"/>
    </xf>
    <xf numFmtId="0" fontId="28" fillId="3" borderId="14" xfId="8" applyFont="1" applyFill="1" applyBorder="1" applyAlignment="1">
      <alignment horizontal="center" vertical="center" shrinkToFit="1"/>
    </xf>
    <xf numFmtId="0" fontId="32" fillId="3" borderId="4" xfId="8" applyFont="1" applyFill="1" applyBorder="1" applyAlignment="1">
      <alignment horizontal="center" vertical="center" shrinkToFit="1"/>
    </xf>
    <xf numFmtId="0" fontId="32" fillId="3" borderId="14" xfId="8" applyFont="1" applyFill="1" applyBorder="1" applyAlignment="1">
      <alignment horizontal="center" vertical="center" shrinkToFit="1"/>
    </xf>
    <xf numFmtId="0" fontId="34" fillId="3" borderId="4" xfId="8" applyFont="1" applyFill="1" applyBorder="1" applyAlignment="1">
      <alignment horizontal="center" vertical="center" shrinkToFit="1"/>
    </xf>
    <xf numFmtId="0" fontId="34" fillId="3" borderId="16" xfId="8" applyFont="1" applyFill="1" applyBorder="1" applyAlignment="1">
      <alignment horizontal="center" vertical="center" shrinkToFit="1"/>
    </xf>
    <xf numFmtId="0" fontId="34" fillId="3" borderId="14" xfId="8" applyFont="1" applyFill="1" applyBorder="1" applyAlignment="1">
      <alignment horizontal="center" vertical="center" shrinkToFit="1"/>
    </xf>
    <xf numFmtId="0" fontId="30" fillId="3" borderId="3" xfId="8" applyFont="1" applyFill="1" applyBorder="1" applyAlignment="1">
      <alignment horizontal="center" shrinkToFit="1"/>
    </xf>
    <xf numFmtId="0" fontId="36" fillId="0" borderId="4" xfId="8" applyFont="1" applyBorder="1" applyAlignment="1">
      <alignment horizontal="center" shrinkToFit="1"/>
    </xf>
    <xf numFmtId="0" fontId="30" fillId="0" borderId="14" xfId="0" applyFont="1" applyBorder="1">
      <alignment vertical="center"/>
    </xf>
    <xf numFmtId="0" fontId="30" fillId="3" borderId="4" xfId="8" applyFont="1" applyFill="1" applyBorder="1" applyAlignment="1">
      <alignment horizontal="center" shrinkToFit="1"/>
    </xf>
    <xf numFmtId="0" fontId="30" fillId="3" borderId="14" xfId="8" applyFont="1" applyFill="1" applyBorder="1" applyAlignment="1">
      <alignment horizontal="center" shrinkToFit="1"/>
    </xf>
    <xf numFmtId="0" fontId="30" fillId="0" borderId="16" xfId="8" applyFont="1" applyBorder="1" applyAlignment="1">
      <alignment horizontal="center" shrinkToFit="1"/>
    </xf>
    <xf numFmtId="0" fontId="30" fillId="0" borderId="14" xfId="8" applyFont="1" applyBorder="1" applyAlignment="1">
      <alignment horizontal="center" shrinkToFit="1"/>
    </xf>
    <xf numFmtId="0" fontId="38" fillId="3" borderId="3" xfId="8" applyFont="1" applyFill="1" applyBorder="1" applyAlignment="1">
      <alignment horizontal="center" shrinkToFit="1"/>
    </xf>
    <xf numFmtId="38" fontId="30" fillId="0" borderId="4" xfId="43" applyFont="1" applyBorder="1" applyAlignment="1">
      <alignment horizontal="center" shrinkToFit="1"/>
    </xf>
    <xf numFmtId="38" fontId="30" fillId="0" borderId="14" xfId="43" applyFont="1" applyBorder="1">
      <alignment vertical="center"/>
    </xf>
    <xf numFmtId="38" fontId="36" fillId="0" borderId="4" xfId="43" applyFont="1" applyBorder="1" applyAlignment="1">
      <alignment horizontal="center" shrinkToFit="1"/>
    </xf>
    <xf numFmtId="0" fontId="36" fillId="0" borderId="16" xfId="8" applyFont="1" applyBorder="1" applyAlignment="1">
      <alignment horizontal="center" shrinkToFit="1"/>
    </xf>
    <xf numFmtId="0" fontId="36" fillId="0" borderId="14" xfId="8" applyFont="1" applyBorder="1" applyAlignment="1">
      <alignment horizontal="center" shrinkToFit="1"/>
    </xf>
    <xf numFmtId="0" fontId="40" fillId="0" borderId="17" xfId="8" applyFont="1" applyBorder="1" applyAlignment="1">
      <alignment horizontal="left" vertical="center" shrinkToFit="1"/>
    </xf>
    <xf numFmtId="0" fontId="40" fillId="0" borderId="18" xfId="8" applyFont="1" applyBorder="1" applyAlignment="1">
      <alignment horizontal="left" vertical="center" shrinkToFit="1"/>
    </xf>
    <xf numFmtId="0" fontId="40" fillId="0" borderId="19" xfId="8" applyFont="1" applyBorder="1" applyAlignment="1">
      <alignment horizontal="left" vertical="center" shrinkToFit="1"/>
    </xf>
    <xf numFmtId="0" fontId="41" fillId="3" borderId="3" xfId="8" applyFont="1" applyFill="1" applyBorder="1" applyAlignment="1">
      <alignment horizontal="center" shrinkToFit="1"/>
    </xf>
    <xf numFmtId="0" fontId="40" fillId="0" borderId="20" xfId="8" applyFont="1" applyBorder="1" applyAlignment="1">
      <alignment horizontal="left" vertical="center" shrinkToFit="1"/>
    </xf>
    <xf numFmtId="0" fontId="40" fillId="0" borderId="21" xfId="8" applyFont="1" applyBorder="1" applyAlignment="1">
      <alignment horizontal="left" vertical="center" shrinkToFit="1"/>
    </xf>
    <xf numFmtId="0" fontId="40" fillId="0" borderId="22" xfId="8" applyFont="1" applyBorder="1" applyAlignment="1">
      <alignment horizontal="left" vertical="center" shrinkToFit="1"/>
    </xf>
    <xf numFmtId="0" fontId="39" fillId="3" borderId="4" xfId="8" applyFont="1" applyFill="1" applyBorder="1" applyAlignment="1">
      <alignment horizontal="center" shrinkToFit="1"/>
    </xf>
    <xf numFmtId="0" fontId="38" fillId="3" borderId="14" xfId="8" applyFont="1" applyFill="1" applyBorder="1" applyAlignment="1">
      <alignment horizontal="center" shrinkToFit="1"/>
    </xf>
    <xf numFmtId="6" fontId="30" fillId="0" borderId="4" xfId="44" applyFont="1" applyBorder="1" applyAlignment="1">
      <alignment horizontal="center" shrinkToFit="1"/>
    </xf>
    <xf numFmtId="6" fontId="30" fillId="0" borderId="14" xfId="44" applyFont="1" applyBorder="1">
      <alignment vertical="center"/>
    </xf>
    <xf numFmtId="0" fontId="36" fillId="3" borderId="2" xfId="8" applyFont="1" applyFill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36" fillId="4" borderId="4" xfId="8" applyFont="1" applyFill="1" applyBorder="1" applyAlignment="1">
      <alignment horizontal="left" vertical="center" shrinkToFit="1"/>
    </xf>
    <xf numFmtId="0" fontId="36" fillId="4" borderId="16" xfId="8" applyFont="1" applyFill="1" applyBorder="1" applyAlignment="1">
      <alignment horizontal="left" vertical="center" shrinkToFit="1"/>
    </xf>
    <xf numFmtId="0" fontId="36" fillId="4" borderId="14" xfId="8" applyFont="1" applyFill="1" applyBorder="1" applyAlignment="1">
      <alignment horizontal="left" vertical="center" shrinkToFit="1"/>
    </xf>
    <xf numFmtId="0" fontId="39" fillId="3" borderId="14" xfId="8" applyFont="1" applyFill="1" applyBorder="1" applyAlignment="1">
      <alignment horizontal="center" shrinkToFit="1"/>
    </xf>
    <xf numFmtId="0" fontId="36" fillId="3" borderId="4" xfId="8" applyFont="1" applyFill="1" applyBorder="1" applyAlignment="1">
      <alignment horizontal="center" shrinkToFit="1"/>
    </xf>
    <xf numFmtId="10" fontId="36" fillId="0" borderId="4" xfId="8" applyNumberFormat="1" applyFont="1" applyBorder="1" applyAlignment="1">
      <alignment horizontal="center" shrinkToFit="1"/>
    </xf>
    <xf numFmtId="0" fontId="35" fillId="3" borderId="4" xfId="8" applyFont="1" applyFill="1" applyBorder="1" applyAlignment="1">
      <alignment horizontal="center" shrinkToFit="1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9" fillId="3" borderId="4" xfId="8" applyFont="1" applyFill="1" applyBorder="1" applyAlignment="1">
      <alignment shrinkToFit="1"/>
    </xf>
    <xf numFmtId="0" fontId="39" fillId="3" borderId="14" xfId="8" applyFont="1" applyFill="1" applyBorder="1" applyAlignment="1">
      <alignment shrinkToFit="1"/>
    </xf>
    <xf numFmtId="0" fontId="36" fillId="4" borderId="4" xfId="8" applyFont="1" applyFill="1" applyBorder="1" applyAlignment="1">
      <alignment horizontal="left" shrinkToFit="1"/>
    </xf>
    <xf numFmtId="0" fontId="36" fillId="4" borderId="16" xfId="8" applyFont="1" applyFill="1" applyBorder="1" applyAlignment="1">
      <alignment horizontal="left" shrinkToFit="1"/>
    </xf>
    <xf numFmtId="0" fontId="36" fillId="4" borderId="14" xfId="8" applyFont="1" applyFill="1" applyBorder="1" applyAlignment="1">
      <alignment horizontal="left" shrinkToFit="1"/>
    </xf>
    <xf numFmtId="177" fontId="21" fillId="0" borderId="4" xfId="0" applyNumberFormat="1" applyFont="1" applyBorder="1" applyAlignment="1">
      <alignment horizontal="right" vertical="center" shrinkToFit="1"/>
    </xf>
    <xf numFmtId="0" fontId="0" fillId="0" borderId="14" xfId="0" applyBorder="1" applyAlignment="1">
      <alignment horizontal="right" vertical="center" shrinkToFit="1"/>
    </xf>
    <xf numFmtId="0" fontId="44" fillId="2" borderId="4" xfId="8" applyFont="1" applyFill="1" applyBorder="1" applyAlignment="1">
      <alignment horizontal="center" vertical="center" shrinkToFit="1"/>
    </xf>
    <xf numFmtId="0" fontId="44" fillId="2" borderId="16" xfId="8" applyFont="1" applyFill="1" applyBorder="1" applyAlignment="1">
      <alignment horizontal="center" vertical="center" shrinkToFit="1"/>
    </xf>
    <xf numFmtId="0" fontId="44" fillId="2" borderId="14" xfId="8" applyFont="1" applyFill="1" applyBorder="1" applyAlignment="1">
      <alignment horizontal="center" vertical="center" shrinkToFit="1"/>
    </xf>
    <xf numFmtId="10" fontId="21" fillId="0" borderId="4" xfId="0" applyNumberFormat="1" applyFont="1" applyBorder="1" applyAlignment="1">
      <alignment horizontal="center" vertical="center"/>
    </xf>
    <xf numFmtId="0" fontId="41" fillId="3" borderId="4" xfId="8" applyFont="1" applyFill="1" applyBorder="1" applyAlignment="1">
      <alignment horizontal="center" shrinkToFit="1"/>
    </xf>
    <xf numFmtId="0" fontId="30" fillId="0" borderId="4" xfId="8" applyFont="1" applyBorder="1" applyAlignment="1">
      <alignment horizontal="center" vertical="center" wrapText="1" shrinkToFit="1"/>
    </xf>
    <xf numFmtId="0" fontId="30" fillId="0" borderId="16" xfId="8" applyFont="1" applyBorder="1" applyAlignment="1">
      <alignment horizontal="center" vertical="center" wrapText="1" shrinkToFit="1"/>
    </xf>
    <xf numFmtId="0" fontId="30" fillId="0" borderId="14" xfId="8" applyFont="1" applyBorder="1" applyAlignment="1">
      <alignment horizontal="center" vertical="center" wrapText="1" shrinkToFit="1"/>
    </xf>
    <xf numFmtId="0" fontId="30" fillId="3" borderId="2" xfId="8" applyFont="1" applyFill="1" applyBorder="1" applyAlignment="1">
      <alignment horizontal="center" vertical="center" shrinkToFit="1"/>
    </xf>
    <xf numFmtId="0" fontId="30" fillId="3" borderId="8" xfId="8" applyFont="1" applyFill="1" applyBorder="1" applyAlignment="1">
      <alignment horizontal="center" vertical="center" shrinkToFit="1"/>
    </xf>
    <xf numFmtId="0" fontId="30" fillId="3" borderId="9" xfId="8" applyFont="1" applyFill="1" applyBorder="1" applyAlignment="1">
      <alignment horizontal="center" vertical="center" shrinkToFit="1"/>
    </xf>
    <xf numFmtId="0" fontId="30" fillId="3" borderId="10" xfId="8" applyFont="1" applyFill="1" applyBorder="1" applyAlignment="1">
      <alignment horizontal="center" vertical="center" shrinkToFit="1"/>
    </xf>
    <xf numFmtId="0" fontId="44" fillId="3" borderId="6" xfId="8" applyFont="1" applyFill="1" applyBorder="1" applyAlignment="1">
      <alignment horizontal="center" vertical="center" wrapText="1" shrinkToFit="1"/>
    </xf>
    <xf numFmtId="0" fontId="47" fillId="3" borderId="6" xfId="8" applyFont="1" applyFill="1" applyBorder="1" applyAlignment="1">
      <alignment horizontal="center" vertical="center" wrapText="1" shrinkToFit="1"/>
    </xf>
    <xf numFmtId="0" fontId="36" fillId="3" borderId="5" xfId="8" applyFont="1" applyFill="1" applyBorder="1" applyAlignment="1">
      <alignment horizontal="center" vertical="center" wrapText="1" shrinkToFit="1"/>
    </xf>
    <xf numFmtId="0" fontId="30" fillId="3" borderId="5" xfId="8" applyFont="1" applyFill="1" applyBorder="1" applyAlignment="1">
      <alignment horizontal="center" vertical="center" wrapText="1" shrinkToFit="1"/>
    </xf>
    <xf numFmtId="0" fontId="41" fillId="3" borderId="2" xfId="8" applyFont="1" applyFill="1" applyBorder="1" applyAlignment="1">
      <alignment horizontal="center" vertical="center" wrapText="1" shrinkToFit="1"/>
    </xf>
    <xf numFmtId="0" fontId="41" fillId="3" borderId="8" xfId="8" applyFont="1" applyFill="1" applyBorder="1" applyAlignment="1">
      <alignment horizontal="center" vertical="center" wrapText="1" shrinkToFit="1"/>
    </xf>
    <xf numFmtId="0" fontId="41" fillId="3" borderId="9" xfId="8" applyFont="1" applyFill="1" applyBorder="1" applyAlignment="1">
      <alignment horizontal="center" vertical="center" wrapText="1" shrinkToFit="1"/>
    </xf>
    <xf numFmtId="0" fontId="41" fillId="3" borderId="10" xfId="8" applyFont="1" applyFill="1" applyBorder="1" applyAlignment="1">
      <alignment horizontal="center" vertical="center" wrapText="1" shrinkToFit="1"/>
    </xf>
    <xf numFmtId="0" fontId="38" fillId="3" borderId="8" xfId="8" applyFont="1" applyFill="1" applyBorder="1" applyAlignment="1">
      <alignment horizontal="center" vertical="center" wrapText="1" shrinkToFit="1"/>
    </xf>
    <xf numFmtId="0" fontId="38" fillId="3" borderId="9" xfId="8" applyFont="1" applyFill="1" applyBorder="1" applyAlignment="1">
      <alignment horizontal="center" vertical="center" wrapText="1" shrinkToFit="1"/>
    </xf>
    <xf numFmtId="0" fontId="38" fillId="3" borderId="10" xfId="8" applyFont="1" applyFill="1" applyBorder="1" applyAlignment="1">
      <alignment horizontal="center" vertical="center" wrapText="1" shrinkToFit="1"/>
    </xf>
    <xf numFmtId="0" fontId="30" fillId="3" borderId="6" xfId="8" applyFont="1" applyFill="1" applyBorder="1" applyAlignment="1">
      <alignment horizontal="center" vertical="center" wrapText="1" shrinkToFit="1"/>
    </xf>
    <xf numFmtId="0" fontId="30" fillId="3" borderId="13" xfId="8" applyFont="1" applyFill="1" applyBorder="1" applyAlignment="1">
      <alignment horizontal="center" vertical="center" wrapText="1" shrinkToFit="1"/>
    </xf>
    <xf numFmtId="0" fontId="30" fillId="3" borderId="9" xfId="8" applyFont="1" applyFill="1" applyBorder="1" applyAlignment="1">
      <alignment horizontal="center" vertical="center" wrapText="1" shrinkToFit="1"/>
    </xf>
    <xf numFmtId="0" fontId="30" fillId="3" borderId="10" xfId="8" applyFont="1" applyFill="1" applyBorder="1" applyAlignment="1">
      <alignment horizontal="center" vertical="center" wrapText="1" shrinkToFit="1"/>
    </xf>
    <xf numFmtId="0" fontId="30" fillId="3" borderId="2" xfId="8" applyFont="1" applyFill="1" applyBorder="1" applyAlignment="1">
      <alignment horizontal="center" vertical="center" wrapText="1" shrinkToFit="1"/>
    </xf>
    <xf numFmtId="0" fontId="30" fillId="3" borderId="8" xfId="8" applyFont="1" applyFill="1" applyBorder="1" applyAlignment="1">
      <alignment horizontal="center" vertical="center" wrapText="1" shrinkToFit="1"/>
    </xf>
    <xf numFmtId="0" fontId="38" fillId="3" borderId="6" xfId="8" applyFont="1" applyFill="1" applyBorder="1" applyAlignment="1">
      <alignment horizontal="center" vertical="center" wrapText="1" shrinkToFit="1"/>
    </xf>
    <xf numFmtId="0" fontId="38" fillId="3" borderId="13" xfId="8" applyFont="1" applyFill="1" applyBorder="1" applyAlignment="1">
      <alignment horizontal="center" vertical="center" wrapText="1" shrinkToFit="1"/>
    </xf>
    <xf numFmtId="0" fontId="44" fillId="3" borderId="5" xfId="8" applyFont="1" applyFill="1" applyBorder="1" applyAlignment="1">
      <alignment horizontal="center" vertical="center" wrapText="1" shrinkToFit="1"/>
    </xf>
    <xf numFmtId="0" fontId="47" fillId="3" borderId="11" xfId="8" applyFont="1" applyFill="1" applyBorder="1" applyAlignment="1">
      <alignment horizontal="center" vertical="center" wrapText="1" shrinkToFit="1"/>
    </xf>
    <xf numFmtId="0" fontId="36" fillId="0" borderId="4" xfId="8" applyFont="1" applyBorder="1" applyAlignment="1">
      <alignment horizontal="center" vertical="center" shrinkToFit="1"/>
    </xf>
    <xf numFmtId="0" fontId="30" fillId="0" borderId="14" xfId="8" applyFont="1" applyBorder="1" applyAlignment="1">
      <alignment horizontal="center" vertical="center" shrinkToFit="1"/>
    </xf>
    <xf numFmtId="178" fontId="30" fillId="0" borderId="4" xfId="8" applyNumberFormat="1" applyFont="1" applyBorder="1" applyAlignment="1">
      <alignment horizontal="center" vertical="center" shrinkToFit="1"/>
    </xf>
    <xf numFmtId="178" fontId="30" fillId="0" borderId="14" xfId="8" applyNumberFormat="1" applyFont="1" applyBorder="1" applyAlignment="1">
      <alignment horizontal="center" vertical="center" shrinkToFit="1"/>
    </xf>
    <xf numFmtId="0" fontId="66" fillId="0" borderId="20" xfId="8" applyFont="1" applyBorder="1" applyAlignment="1">
      <alignment horizontal="left" vertical="center"/>
    </xf>
    <xf numFmtId="0" fontId="65" fillId="0" borderId="21" xfId="8" applyFont="1" applyBorder="1" applyAlignment="1">
      <alignment horizontal="left" vertical="center"/>
    </xf>
    <xf numFmtId="0" fontId="65" fillId="0" borderId="22" xfId="8" applyFont="1" applyBorder="1" applyAlignment="1">
      <alignment horizontal="left" vertical="center"/>
    </xf>
    <xf numFmtId="0" fontId="62" fillId="0" borderId="20" xfId="8" applyFont="1" applyBorder="1" applyAlignment="1">
      <alignment horizontal="left" vertical="center"/>
    </xf>
    <xf numFmtId="0" fontId="40" fillId="0" borderId="21" xfId="8" applyFont="1" applyBorder="1" applyAlignment="1">
      <alignment horizontal="left" vertical="center"/>
    </xf>
    <xf numFmtId="0" fontId="40" fillId="0" borderId="22" xfId="8" applyFont="1" applyBorder="1" applyAlignment="1">
      <alignment horizontal="left" vertical="center"/>
    </xf>
    <xf numFmtId="0" fontId="36" fillId="0" borderId="20" xfId="8" applyFont="1" applyBorder="1" applyAlignment="1">
      <alignment horizontal="left" vertical="center"/>
    </xf>
    <xf numFmtId="0" fontId="30" fillId="0" borderId="21" xfId="8" applyFont="1" applyBorder="1" applyAlignment="1">
      <alignment horizontal="left" vertical="center"/>
    </xf>
    <xf numFmtId="0" fontId="30" fillId="0" borderId="22" xfId="8" applyFont="1" applyBorder="1" applyAlignment="1">
      <alignment horizontal="left" vertical="center"/>
    </xf>
    <xf numFmtId="0" fontId="63" fillId="0" borderId="20" xfId="8" applyFont="1" applyBorder="1" applyAlignment="1">
      <alignment horizontal="left" vertical="center"/>
    </xf>
    <xf numFmtId="0" fontId="40" fillId="0" borderId="20" xfId="8" applyFont="1" applyBorder="1" applyAlignment="1">
      <alignment horizontal="center" vertical="center"/>
    </xf>
    <xf numFmtId="0" fontId="40" fillId="0" borderId="21" xfId="8" applyFont="1" applyBorder="1" applyAlignment="1">
      <alignment horizontal="center" vertical="center"/>
    </xf>
    <xf numFmtId="0" fontId="40" fillId="0" borderId="22" xfId="8" applyFont="1" applyBorder="1" applyAlignment="1">
      <alignment horizontal="center" vertical="center"/>
    </xf>
    <xf numFmtId="0" fontId="69" fillId="0" borderId="20" xfId="8" applyFont="1" applyBorder="1" applyAlignment="1">
      <alignment horizontal="left" vertical="center"/>
    </xf>
    <xf numFmtId="0" fontId="30" fillId="0" borderId="20" xfId="8" applyFont="1" applyBorder="1" applyAlignment="1">
      <alignment horizontal="center" vertical="center"/>
    </xf>
    <xf numFmtId="0" fontId="30" fillId="0" borderId="21" xfId="8" applyFont="1" applyBorder="1" applyAlignment="1">
      <alignment horizontal="center" vertical="center"/>
    </xf>
    <xf numFmtId="0" fontId="30" fillId="0" borderId="22" xfId="8" applyFont="1" applyBorder="1" applyAlignment="1">
      <alignment horizontal="center" vertical="center"/>
    </xf>
    <xf numFmtId="0" fontId="30" fillId="0" borderId="26" xfId="8" applyFont="1" applyBorder="1" applyAlignment="1">
      <alignment horizontal="center" vertical="center"/>
    </xf>
    <xf numFmtId="0" fontId="30" fillId="0" borderId="27" xfId="8" applyFont="1" applyBorder="1" applyAlignment="1">
      <alignment horizontal="center" vertical="center"/>
    </xf>
    <xf numFmtId="0" fontId="30" fillId="0" borderId="28" xfId="8" applyFont="1" applyBorder="1" applyAlignment="1">
      <alignment horizontal="center" vertical="center"/>
    </xf>
    <xf numFmtId="0" fontId="28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12" xfId="0" applyBorder="1" applyAlignment="1">
      <alignment horizontal="center" vertical="center" textRotation="255" shrinkToFit="1"/>
    </xf>
    <xf numFmtId="0" fontId="0" fillId="0" borderId="11" xfId="0" applyBorder="1" applyAlignment="1">
      <alignment horizontal="center" vertical="center" textRotation="255" shrinkToFit="1"/>
    </xf>
    <xf numFmtId="0" fontId="36" fillId="3" borderId="4" xfId="8" applyFont="1" applyFill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36" fillId="3" borderId="4" xfId="8" applyFont="1" applyFill="1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36" fillId="0" borderId="6" xfId="8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30" fillId="0" borderId="0" xfId="8" applyFont="1" applyAlignment="1">
      <alignment horizontal="center" vertical="center" wrapText="1" shrinkToFit="1"/>
    </xf>
    <xf numFmtId="0" fontId="28" fillId="0" borderId="0" xfId="0" applyFont="1">
      <alignment vertical="center"/>
    </xf>
    <xf numFmtId="0" fontId="0" fillId="0" borderId="0" xfId="0">
      <alignment vertical="center"/>
    </xf>
    <xf numFmtId="178" fontId="30" fillId="0" borderId="3" xfId="8" applyNumberFormat="1" applyFont="1" applyBorder="1" applyAlignment="1">
      <alignment horizontal="center" vertical="center" shrinkToFit="1"/>
    </xf>
    <xf numFmtId="178" fontId="67" fillId="0" borderId="3" xfId="8" applyNumberFormat="1" applyFont="1" applyBorder="1" applyAlignment="1">
      <alignment horizontal="center" vertical="center" shrinkToFit="1"/>
    </xf>
    <xf numFmtId="178" fontId="30" fillId="0" borderId="5" xfId="8" applyNumberFormat="1" applyFont="1" applyBorder="1" applyAlignment="1">
      <alignment horizontal="center" vertical="center" shrinkToFit="1"/>
    </xf>
    <xf numFmtId="178" fontId="30" fillId="0" borderId="6" xfId="8" applyNumberFormat="1" applyFont="1" applyBorder="1" applyAlignment="1">
      <alignment horizontal="center" vertical="center" shrinkToFit="1"/>
    </xf>
    <xf numFmtId="178" fontId="30" fillId="0" borderId="0" xfId="8" applyNumberFormat="1" applyFont="1" applyAlignment="1">
      <alignment horizontal="center" vertical="center" shrinkToFit="1"/>
    </xf>
    <xf numFmtId="0" fontId="16" fillId="0" borderId="2" xfId="27" applyBorder="1" applyAlignment="1">
      <alignment horizontal="center" vertical="center"/>
    </xf>
    <xf numFmtId="0" fontId="16" fillId="0" borderId="7" xfId="27" applyBorder="1" applyAlignment="1">
      <alignment horizontal="center" vertical="center"/>
    </xf>
    <xf numFmtId="0" fontId="16" fillId="0" borderId="8" xfId="27" applyBorder="1" applyAlignment="1">
      <alignment horizontal="center" vertical="center"/>
    </xf>
    <xf numFmtId="176" fontId="57" fillId="0" borderId="2" xfId="27" applyNumberFormat="1" applyFont="1" applyBorder="1" applyAlignment="1">
      <alignment horizontal="center" vertical="center"/>
    </xf>
    <xf numFmtId="176" fontId="57" fillId="0" borderId="7" xfId="27" applyNumberFormat="1" applyFont="1" applyBorder="1" applyAlignment="1">
      <alignment horizontal="center" vertical="center"/>
    </xf>
    <xf numFmtId="176" fontId="57" fillId="0" borderId="8" xfId="27" applyNumberFormat="1" applyFont="1" applyBorder="1" applyAlignment="1">
      <alignment horizontal="center" vertical="center"/>
    </xf>
    <xf numFmtId="176" fontId="57" fillId="0" borderId="9" xfId="27" applyNumberFormat="1" applyFont="1" applyBorder="1" applyAlignment="1">
      <alignment horizontal="center" vertical="center"/>
    </xf>
    <xf numFmtId="176" fontId="57" fillId="0" borderId="1" xfId="27" applyNumberFormat="1" applyFont="1" applyBorder="1" applyAlignment="1">
      <alignment horizontal="center" vertical="center"/>
    </xf>
    <xf numFmtId="176" fontId="57" fillId="0" borderId="10" xfId="27" applyNumberFormat="1" applyFont="1" applyBorder="1" applyAlignment="1">
      <alignment horizontal="center" vertical="center"/>
    </xf>
    <xf numFmtId="0" fontId="16" fillId="0" borderId="12" xfId="27" applyBorder="1" applyAlignment="1">
      <alignment horizontal="center" vertical="center"/>
    </xf>
    <xf numFmtId="0" fontId="1" fillId="0" borderId="11" xfId="45" applyBorder="1">
      <alignment vertical="center"/>
    </xf>
    <xf numFmtId="177" fontId="16" fillId="2" borderId="12" xfId="27" applyNumberFormat="1" applyFill="1" applyBorder="1" applyAlignment="1">
      <alignment horizontal="center" vertical="center"/>
    </xf>
    <xf numFmtId="177" fontId="1" fillId="0" borderId="11" xfId="45" applyNumberFormat="1" applyBorder="1">
      <alignment vertical="center"/>
    </xf>
    <xf numFmtId="0" fontId="54" fillId="0" borderId="4" xfId="1" applyFont="1" applyBorder="1" applyAlignment="1">
      <alignment horizontal="center" vertical="center"/>
    </xf>
    <xf numFmtId="0" fontId="54" fillId="0" borderId="16" xfId="1" applyFont="1" applyBorder="1" applyAlignment="1">
      <alignment horizontal="center" vertical="center"/>
    </xf>
    <xf numFmtId="0" fontId="54" fillId="0" borderId="14" xfId="1" applyFont="1" applyBorder="1" applyAlignment="1">
      <alignment horizontal="center" vertical="center"/>
    </xf>
    <xf numFmtId="5" fontId="61" fillId="0" borderId="4" xfId="1" applyNumberFormat="1" applyFont="1" applyBorder="1" applyAlignment="1">
      <alignment horizontal="center" vertical="center"/>
    </xf>
    <xf numFmtId="5" fontId="61" fillId="0" borderId="16" xfId="1" applyNumberFormat="1" applyFont="1" applyBorder="1" applyAlignment="1">
      <alignment horizontal="center" vertical="center"/>
    </xf>
    <xf numFmtId="5" fontId="61" fillId="0" borderId="14" xfId="1" applyNumberFormat="1" applyFont="1" applyBorder="1" applyAlignment="1">
      <alignment horizontal="center" vertical="center"/>
    </xf>
    <xf numFmtId="0" fontId="56" fillId="0" borderId="2" xfId="2" applyFont="1" applyBorder="1" applyAlignment="1">
      <alignment horizontal="center" vertical="center" shrinkToFit="1"/>
    </xf>
    <xf numFmtId="0" fontId="56" fillId="0" borderId="8" xfId="2" applyFont="1" applyBorder="1" applyAlignment="1">
      <alignment horizontal="center" vertical="center" shrinkToFit="1"/>
    </xf>
    <xf numFmtId="0" fontId="56" fillId="0" borderId="7" xfId="2" applyFont="1" applyBorder="1" applyAlignment="1">
      <alignment horizontal="center" vertical="center" shrinkToFit="1"/>
    </xf>
    <xf numFmtId="5" fontId="74" fillId="0" borderId="2" xfId="2" applyNumberFormat="1" applyFont="1" applyBorder="1" applyAlignment="1">
      <alignment horizontal="center" vertical="center"/>
    </xf>
    <xf numFmtId="5" fontId="74" fillId="0" borderId="8" xfId="2" applyNumberFormat="1" applyFont="1" applyBorder="1" applyAlignment="1">
      <alignment horizontal="center" vertical="center"/>
    </xf>
    <xf numFmtId="5" fontId="74" fillId="0" borderId="9" xfId="2" applyNumberFormat="1" applyFont="1" applyBorder="1" applyAlignment="1">
      <alignment horizontal="center" vertical="center"/>
    </xf>
    <xf numFmtId="5" fontId="74" fillId="0" borderId="10" xfId="2" applyNumberFormat="1" applyFont="1" applyBorder="1" applyAlignment="1">
      <alignment horizontal="center" vertical="center"/>
    </xf>
    <xf numFmtId="5" fontId="74" fillId="0" borderId="7" xfId="2" applyNumberFormat="1" applyFont="1" applyBorder="1" applyAlignment="1">
      <alignment horizontal="center" vertical="center"/>
    </xf>
    <xf numFmtId="5" fontId="74" fillId="0" borderId="1" xfId="2" applyNumberFormat="1" applyFont="1" applyBorder="1" applyAlignment="1">
      <alignment horizontal="center" vertical="center"/>
    </xf>
    <xf numFmtId="176" fontId="75" fillId="0" borderId="2" xfId="2" applyNumberFormat="1" applyFont="1" applyBorder="1" applyAlignment="1">
      <alignment horizontal="center" vertical="center"/>
    </xf>
    <xf numFmtId="176" fontId="75" fillId="0" borderId="8" xfId="2" applyNumberFormat="1" applyFont="1" applyBorder="1" applyAlignment="1">
      <alignment horizontal="center" vertical="center"/>
    </xf>
    <xf numFmtId="176" fontId="75" fillId="0" borderId="9" xfId="2" applyNumberFormat="1" applyFont="1" applyBorder="1" applyAlignment="1">
      <alignment horizontal="center" vertical="center"/>
    </xf>
    <xf numFmtId="176" fontId="75" fillId="0" borderId="10" xfId="2" applyNumberFormat="1" applyFont="1" applyBorder="1" applyAlignment="1">
      <alignment horizontal="center" vertical="center"/>
    </xf>
    <xf numFmtId="0" fontId="1" fillId="0" borderId="30" xfId="45" applyBorder="1" applyAlignment="1">
      <alignment horizontal="center" vertical="center"/>
    </xf>
    <xf numFmtId="0" fontId="1" fillId="0" borderId="31" xfId="45" applyBorder="1" applyAlignment="1">
      <alignment horizontal="center" vertical="center"/>
    </xf>
    <xf numFmtId="0" fontId="1" fillId="0" borderId="3" xfId="45" applyBorder="1" applyAlignment="1">
      <alignment horizontal="center" vertical="center"/>
    </xf>
    <xf numFmtId="0" fontId="16" fillId="0" borderId="0" xfId="2" applyAlignment="1">
      <alignment horizontal="center" vertical="center"/>
    </xf>
    <xf numFmtId="0" fontId="60" fillId="0" borderId="4" xfId="1" applyFont="1" applyBorder="1" applyAlignment="1">
      <alignment horizontal="center" vertical="center"/>
    </xf>
    <xf numFmtId="0" fontId="60" fillId="0" borderId="16" xfId="1" applyFont="1" applyBorder="1" applyAlignment="1">
      <alignment horizontal="center" vertical="center"/>
    </xf>
    <xf numFmtId="0" fontId="60" fillId="0" borderId="14" xfId="1" applyFont="1" applyBorder="1" applyAlignment="1">
      <alignment horizontal="center" vertical="center"/>
    </xf>
    <xf numFmtId="0" fontId="1" fillId="0" borderId="12" xfId="45" applyBorder="1" applyAlignment="1">
      <alignment horizontal="center" vertical="center"/>
    </xf>
    <xf numFmtId="0" fontId="1" fillId="0" borderId="11" xfId="45" applyBorder="1" applyAlignment="1">
      <alignment horizontal="center" vertical="center"/>
    </xf>
    <xf numFmtId="0" fontId="1" fillId="0" borderId="30" xfId="45" applyBorder="1" applyAlignment="1">
      <alignment horizontal="center" vertical="center" shrinkToFit="1"/>
    </xf>
    <xf numFmtId="0" fontId="1" fillId="0" borderId="31" xfId="45" applyBorder="1" applyAlignment="1">
      <alignment horizontal="center" vertical="center" shrinkToFit="1"/>
    </xf>
    <xf numFmtId="0" fontId="1" fillId="0" borderId="32" xfId="45" applyBorder="1" applyAlignment="1">
      <alignment horizontal="center" vertical="center"/>
    </xf>
    <xf numFmtId="0" fontId="1" fillId="0" borderId="33" xfId="45" applyBorder="1" applyAlignment="1">
      <alignment horizontal="center" vertical="center"/>
    </xf>
    <xf numFmtId="2" fontId="1" fillId="0" borderId="12" xfId="45" applyNumberFormat="1" applyBorder="1" applyAlignment="1">
      <alignment horizontal="center" vertical="center"/>
    </xf>
    <xf numFmtId="2" fontId="1" fillId="0" borderId="11" xfId="45" applyNumberFormat="1" applyBorder="1" applyAlignment="1">
      <alignment horizontal="center" vertical="center"/>
    </xf>
    <xf numFmtId="0" fontId="1" fillId="0" borderId="35" xfId="45" applyBorder="1" applyAlignment="1">
      <alignment horizontal="center" vertical="center"/>
    </xf>
    <xf numFmtId="0" fontId="1" fillId="0" borderId="36" xfId="45" applyBorder="1" applyAlignment="1">
      <alignment horizontal="center" vertical="center"/>
    </xf>
    <xf numFmtId="0" fontId="1" fillId="0" borderId="5" xfId="45" applyBorder="1" applyAlignment="1">
      <alignment horizontal="center" vertical="center"/>
    </xf>
    <xf numFmtId="2" fontId="1" fillId="0" borderId="5" xfId="45" applyNumberFormat="1" applyBorder="1" applyAlignment="1">
      <alignment horizontal="center" vertical="center"/>
    </xf>
    <xf numFmtId="0" fontId="1" fillId="0" borderId="41" xfId="45" applyBorder="1" applyAlignment="1">
      <alignment horizontal="center" vertical="center"/>
    </xf>
    <xf numFmtId="0" fontId="1" fillId="0" borderId="42" xfId="45" applyBorder="1" applyAlignment="1">
      <alignment horizontal="center" vertical="center"/>
    </xf>
    <xf numFmtId="0" fontId="1" fillId="0" borderId="44" xfId="45" applyBorder="1" applyAlignment="1">
      <alignment horizontal="center" vertical="center"/>
    </xf>
    <xf numFmtId="0" fontId="1" fillId="0" borderId="45" xfId="45" applyBorder="1" applyAlignment="1">
      <alignment horizontal="center" vertical="center"/>
    </xf>
    <xf numFmtId="0" fontId="1" fillId="0" borderId="41" xfId="45" applyBorder="1">
      <alignment vertical="center"/>
    </xf>
    <xf numFmtId="0" fontId="1" fillId="0" borderId="42" xfId="45" applyBorder="1">
      <alignment vertical="center"/>
    </xf>
    <xf numFmtId="0" fontId="1" fillId="0" borderId="38" xfId="45" applyBorder="1" applyAlignment="1">
      <alignment horizontal="center" vertical="center"/>
    </xf>
    <xf numFmtId="0" fontId="1" fillId="0" borderId="39" xfId="45" applyBorder="1" applyAlignment="1">
      <alignment horizontal="center" vertical="center"/>
    </xf>
    <xf numFmtId="0" fontId="1" fillId="0" borderId="29" xfId="45" applyBorder="1" applyAlignment="1">
      <alignment horizontal="center" vertical="center"/>
    </xf>
    <xf numFmtId="0" fontId="1" fillId="0" borderId="34" xfId="45" applyBorder="1" applyAlignment="1">
      <alignment horizontal="center" vertical="center"/>
    </xf>
    <xf numFmtId="0" fontId="1" fillId="0" borderId="37" xfId="45" applyBorder="1" applyAlignment="1">
      <alignment horizontal="center" vertical="center"/>
    </xf>
    <xf numFmtId="2" fontId="1" fillId="0" borderId="30" xfId="45" applyNumberFormat="1" applyBorder="1" applyAlignment="1">
      <alignment horizontal="center" vertical="center"/>
    </xf>
    <xf numFmtId="2" fontId="1" fillId="0" borderId="31" xfId="45" applyNumberFormat="1" applyBorder="1" applyAlignment="1">
      <alignment horizontal="center" vertical="center"/>
    </xf>
    <xf numFmtId="2" fontId="1" fillId="0" borderId="29" xfId="45" applyNumberFormat="1" applyBorder="1" applyAlignment="1">
      <alignment horizontal="center" vertical="center"/>
    </xf>
    <xf numFmtId="0" fontId="70" fillId="0" borderId="0" xfId="45" applyFont="1" applyAlignment="1">
      <alignment horizontal="center" vertical="center"/>
    </xf>
    <xf numFmtId="0" fontId="1" fillId="2" borderId="1" xfId="45" applyFill="1" applyBorder="1" applyAlignment="1">
      <alignment horizontal="center" vertical="center"/>
    </xf>
  </cellXfs>
  <cellStyles count="46">
    <cellStyle name="パーセント 2" xfId="5" xr:uid="{00000000-0005-0000-0000-000000000000}"/>
    <cellStyle name="パーセント 2 2" xfId="7" xr:uid="{00000000-0005-0000-0000-000001000000}"/>
    <cellStyle name="パーセント 3" xfId="15" xr:uid="{00000000-0005-0000-0000-000002000000}"/>
    <cellStyle name="パーセント 3 3" xfId="16" xr:uid="{00000000-0005-0000-0000-000003000000}"/>
    <cellStyle name="桁区切り" xfId="43" builtinId="6"/>
    <cellStyle name="桁区切り 10" xfId="42" xr:uid="{F3832659-9CDE-41C2-AF15-FB70B7D6949F}"/>
    <cellStyle name="桁区切り 2" xfId="23" xr:uid="{0D02DF85-C650-4E81-8AFD-953201D24B51}"/>
    <cellStyle name="桁区切り 3" xfId="20" xr:uid="{24F894A4-6CD2-472E-8151-1FF895910CA4}"/>
    <cellStyle name="桁区切り 4" xfId="29" xr:uid="{46D5F370-5535-4F9E-A082-FC19D6150E45}"/>
    <cellStyle name="桁区切り 5" xfId="31" xr:uid="{B6E2C3F5-E013-44D4-B276-BB1E9017E4E4}"/>
    <cellStyle name="桁区切り 6" xfId="34" xr:uid="{34FA6EC8-A0DD-4D80-A586-F473FA294D90}"/>
    <cellStyle name="桁区切り 7" xfId="36" xr:uid="{976FD22B-7747-4594-ADEA-DA88B460214E}"/>
    <cellStyle name="桁区切り 8" xfId="38" xr:uid="{A095A18B-0294-4858-9A98-925FBA381EA3}"/>
    <cellStyle name="桁区切り 9" xfId="40" xr:uid="{165B5DF9-C7B8-4D5B-9A33-B49D029A36ED}"/>
    <cellStyle name="通貨" xfId="44" builtinId="7"/>
    <cellStyle name="通貨 2" xfId="4" xr:uid="{00000000-0005-0000-0000-000006000000}"/>
    <cellStyle name="通貨 2 2" xfId="6" xr:uid="{00000000-0005-0000-0000-000007000000}"/>
    <cellStyle name="通貨 3" xfId="21" xr:uid="{49C90DDD-CEBB-4BC0-8AC1-B92C1BACE315}"/>
    <cellStyle name="通貨 3 3" xfId="14" xr:uid="{00000000-0005-0000-0000-000008000000}"/>
    <cellStyle name="通貨 4 2 2" xfId="13" xr:uid="{00000000-0005-0000-0000-000009000000}"/>
    <cellStyle name="標準" xfId="0" builtinId="0"/>
    <cellStyle name="標準 10" xfId="11" xr:uid="{00000000-0005-0000-0000-00000B000000}"/>
    <cellStyle name="標準 11" xfId="35" xr:uid="{C64A0D78-9187-4F95-8702-59A446270BA1}"/>
    <cellStyle name="標準 12" xfId="37" xr:uid="{A2EE5DC4-27E0-458E-8356-036A87FC37F4}"/>
    <cellStyle name="標準 13" xfId="39" xr:uid="{F4740CC4-9F32-487B-99A9-B96021258291}"/>
    <cellStyle name="標準 14" xfId="41" xr:uid="{445B3DA9-CAAF-4B74-AC93-F64F27AC5BA3}"/>
    <cellStyle name="標準 15" xfId="45" xr:uid="{6A9A906B-32D3-4ADC-8061-3A041C70C1FC}"/>
    <cellStyle name="標準 2" xfId="1" xr:uid="{00000000-0005-0000-0000-00000C000000}"/>
    <cellStyle name="標準 2 2" xfId="12" xr:uid="{00000000-0005-0000-0000-00000D000000}"/>
    <cellStyle name="標準 2 3" xfId="8" xr:uid="{00000000-0005-0000-0000-00000E000000}"/>
    <cellStyle name="標準 2_39183B 2 2 2 2 2" xfId="2" xr:uid="{00000000-0005-0000-0000-00000F000000}"/>
    <cellStyle name="標準 2_新梶原見積もり7.21 2 2 2 2 2" xfId="27" xr:uid="{B62CBB3F-774A-460E-B3BB-D15E00218243}"/>
    <cellStyle name="標準 3" xfId="9" xr:uid="{00000000-0005-0000-0000-000011000000}"/>
    <cellStyle name="標準 3 2" xfId="32" xr:uid="{93B31B07-0680-4634-BED9-3706AAA17012}"/>
    <cellStyle name="標準 3 2 3 2 2 2" xfId="25" xr:uid="{DBC0994E-7C8F-4F67-866D-D7032A669887}"/>
    <cellStyle name="標準 3 2_新梶原見積もり7.21 2 2 2 2 2" xfId="3" xr:uid="{00000000-0005-0000-0000-000012000000}"/>
    <cellStyle name="標準 4" xfId="10" xr:uid="{00000000-0005-0000-0000-000013000000}"/>
    <cellStyle name="標準 5" xfId="17" xr:uid="{00000000-0005-0000-0000-000014000000}"/>
    <cellStyle name="標準 5 2" xfId="18" xr:uid="{00000000-0005-0000-0000-000015000000}"/>
    <cellStyle name="標準 5 3" xfId="19" xr:uid="{00000000-0005-0000-0000-000016000000}"/>
    <cellStyle name="標準 5 3 2 2" xfId="26" xr:uid="{3E5F39DA-30F4-4E7C-AEB5-61B049E40186}"/>
    <cellStyle name="標準 5 4" xfId="24" xr:uid="{5FDDBD67-1CAA-43A9-88D6-D191EE6234D5}"/>
    <cellStyle name="標準 6" xfId="22" xr:uid="{F5CD71B2-9B36-4EBB-9C6A-662C9C09BBED}"/>
    <cellStyle name="標準 7" xfId="28" xr:uid="{99A4B1C8-B188-451C-B067-5C5A1874CDC0}"/>
    <cellStyle name="標準 8" xfId="30" xr:uid="{1B8CACF2-DCCF-420A-8E22-035E0CBC9761}"/>
    <cellStyle name="標準 9" xfId="33" xr:uid="{6988B2AA-A106-45C7-B0C4-16B550A9864B}"/>
  </cellStyles>
  <dxfs count="0"/>
  <tableStyles count="0" defaultTableStyle="TableStyleMedium2" defaultPivotStyle="PivotStyleLight16"/>
  <colors>
    <mruColors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53</xdr:row>
      <xdr:rowOff>66675</xdr:rowOff>
    </xdr:from>
    <xdr:to>
      <xdr:col>17</xdr:col>
      <xdr:colOff>609600</xdr:colOff>
      <xdr:row>53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27A6DB96-0FEE-4094-94C5-ABF3BB16C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197292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53</xdr:row>
      <xdr:rowOff>76200</xdr:rowOff>
    </xdr:from>
    <xdr:to>
      <xdr:col>15</xdr:col>
      <xdr:colOff>190500</xdr:colOff>
      <xdr:row>53</xdr:row>
      <xdr:rowOff>266700</xdr:rowOff>
    </xdr:to>
    <xdr:pic>
      <xdr:nvPicPr>
        <xdr:cNvPr id="3" name="図 2" descr="ＣＲ黒ロゴ.jpg">
          <a:extLst>
            <a:ext uri="{FF2B5EF4-FFF2-40B4-BE49-F238E27FC236}">
              <a16:creationId xmlns:a16="http://schemas.microsoft.com/office/drawing/2014/main" id="{AC1F6DD4-91F1-4201-A1AE-82F1E34B2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98245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228600</xdr:colOff>
      <xdr:row>13</xdr:row>
      <xdr:rowOff>9525</xdr:rowOff>
    </xdr:from>
    <xdr:to>
      <xdr:col>4</xdr:col>
      <xdr:colOff>523874</xdr:colOff>
      <xdr:row>14</xdr:row>
      <xdr:rowOff>28575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5610E5EB-7ACD-4519-B59E-1DE320484A20}"/>
            </a:ext>
          </a:extLst>
        </xdr:cNvPr>
        <xdr:cNvSpPr/>
      </xdr:nvSpPr>
      <xdr:spPr>
        <a:xfrm>
          <a:off x="1914525" y="28765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66675</xdr:colOff>
      <xdr:row>12</xdr:row>
      <xdr:rowOff>209550</xdr:rowOff>
    </xdr:from>
    <xdr:to>
      <xdr:col>14</xdr:col>
      <xdr:colOff>133349</xdr:colOff>
      <xdr:row>14</xdr:row>
      <xdr:rowOff>9525</xdr:rowOff>
    </xdr:to>
    <xdr:sp macro="" textlink="">
      <xdr:nvSpPr>
        <xdr:cNvPr id="5" name="円/楕円 7">
          <a:extLst>
            <a:ext uri="{FF2B5EF4-FFF2-40B4-BE49-F238E27FC236}">
              <a16:creationId xmlns:a16="http://schemas.microsoft.com/office/drawing/2014/main" id="{D150A356-BFE0-4FF9-B3B5-B57F1E6F4281}"/>
            </a:ext>
          </a:extLst>
        </xdr:cNvPr>
        <xdr:cNvSpPr/>
      </xdr:nvSpPr>
      <xdr:spPr>
        <a:xfrm>
          <a:off x="5257800" y="285750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47625</xdr:colOff>
      <xdr:row>10</xdr:row>
      <xdr:rowOff>200025</xdr:rowOff>
    </xdr:from>
    <xdr:to>
      <xdr:col>17</xdr:col>
      <xdr:colOff>561975</xdr:colOff>
      <xdr:row>12</xdr:row>
      <xdr:rowOff>0</xdr:rowOff>
    </xdr:to>
    <xdr:sp macro="" textlink="">
      <xdr:nvSpPr>
        <xdr:cNvPr id="6" name="円/楕円 9">
          <a:extLst>
            <a:ext uri="{FF2B5EF4-FFF2-40B4-BE49-F238E27FC236}">
              <a16:creationId xmlns:a16="http://schemas.microsoft.com/office/drawing/2014/main" id="{475BDA3B-A107-480F-8C4C-BB1F6E34FD0F}"/>
            </a:ext>
          </a:extLst>
        </xdr:cNvPr>
        <xdr:cNvSpPr/>
      </xdr:nvSpPr>
      <xdr:spPr>
        <a:xfrm>
          <a:off x="6686550" y="2409825"/>
          <a:ext cx="51435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</xdr:col>
      <xdr:colOff>0</xdr:colOff>
      <xdr:row>52</xdr:row>
      <xdr:rowOff>238124</xdr:rowOff>
    </xdr:from>
    <xdr:to>
      <xdr:col>7</xdr:col>
      <xdr:colOff>247649</xdr:colOff>
      <xdr:row>52</xdr:row>
      <xdr:rowOff>409575</xdr:rowOff>
    </xdr:to>
    <xdr:sp macro="" textlink="">
      <xdr:nvSpPr>
        <xdr:cNvPr id="7" name="円/楕円 13">
          <a:extLst>
            <a:ext uri="{FF2B5EF4-FFF2-40B4-BE49-F238E27FC236}">
              <a16:creationId xmlns:a16="http://schemas.microsoft.com/office/drawing/2014/main" id="{822134DF-ACCC-498A-BBE6-36353F849A0E}"/>
            </a:ext>
          </a:extLst>
        </xdr:cNvPr>
        <xdr:cNvSpPr/>
      </xdr:nvSpPr>
      <xdr:spPr>
        <a:xfrm>
          <a:off x="3105150" y="114776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28575</xdr:colOff>
      <xdr:row>52</xdr:row>
      <xdr:rowOff>247650</xdr:rowOff>
    </xdr:from>
    <xdr:to>
      <xdr:col>9</xdr:col>
      <xdr:colOff>276224</xdr:colOff>
      <xdr:row>52</xdr:row>
      <xdr:rowOff>419101</xdr:rowOff>
    </xdr:to>
    <xdr:sp macro="" textlink="">
      <xdr:nvSpPr>
        <xdr:cNvPr id="8" name="円/楕円 15">
          <a:extLst>
            <a:ext uri="{FF2B5EF4-FFF2-40B4-BE49-F238E27FC236}">
              <a16:creationId xmlns:a16="http://schemas.microsoft.com/office/drawing/2014/main" id="{E91B5C64-AAE8-4C75-AC9B-F152384B9EEE}"/>
            </a:ext>
          </a:extLst>
        </xdr:cNvPr>
        <xdr:cNvSpPr/>
      </xdr:nvSpPr>
      <xdr:spPr>
        <a:xfrm>
          <a:off x="3810000" y="114871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57150</xdr:colOff>
      <xdr:row>52</xdr:row>
      <xdr:rowOff>257175</xdr:rowOff>
    </xdr:from>
    <xdr:to>
      <xdr:col>12</xdr:col>
      <xdr:colOff>47624</xdr:colOff>
      <xdr:row>52</xdr:row>
      <xdr:rowOff>428626</xdr:rowOff>
    </xdr:to>
    <xdr:sp macro="" textlink="">
      <xdr:nvSpPr>
        <xdr:cNvPr id="9" name="円/楕円 16">
          <a:extLst>
            <a:ext uri="{FF2B5EF4-FFF2-40B4-BE49-F238E27FC236}">
              <a16:creationId xmlns:a16="http://schemas.microsoft.com/office/drawing/2014/main" id="{F2B32FDC-FFDD-43DA-B75A-EFB03E0EED5F}"/>
            </a:ext>
          </a:extLst>
        </xdr:cNvPr>
        <xdr:cNvSpPr/>
      </xdr:nvSpPr>
      <xdr:spPr>
        <a:xfrm>
          <a:off x="4533900" y="11496675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66675</xdr:colOff>
      <xdr:row>10</xdr:row>
      <xdr:rowOff>9525</xdr:rowOff>
    </xdr:from>
    <xdr:to>
      <xdr:col>14</xdr:col>
      <xdr:colOff>133349</xdr:colOff>
      <xdr:row>11</xdr:row>
      <xdr:rowOff>28575</xdr:rowOff>
    </xdr:to>
    <xdr:sp macro="" textlink="">
      <xdr:nvSpPr>
        <xdr:cNvPr id="10" name="円/楕円 10">
          <a:extLst>
            <a:ext uri="{FF2B5EF4-FFF2-40B4-BE49-F238E27FC236}">
              <a16:creationId xmlns:a16="http://schemas.microsoft.com/office/drawing/2014/main" id="{B8BD5FD6-CE77-4F40-A378-1D7BBBBC9ABC}"/>
            </a:ext>
          </a:extLst>
        </xdr:cNvPr>
        <xdr:cNvSpPr/>
      </xdr:nvSpPr>
      <xdr:spPr>
        <a:xfrm>
          <a:off x="5257800" y="221932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152400</xdr:colOff>
      <xdr:row>7</xdr:row>
      <xdr:rowOff>180975</xdr:rowOff>
    </xdr:from>
    <xdr:to>
      <xdr:col>13</xdr:col>
      <xdr:colOff>19049</xdr:colOff>
      <xdr:row>8</xdr:row>
      <xdr:rowOff>200025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49A61E76-FA74-409D-B8A6-95BE9A9DECAB}"/>
            </a:ext>
          </a:extLst>
        </xdr:cNvPr>
        <xdr:cNvSpPr/>
      </xdr:nvSpPr>
      <xdr:spPr>
        <a:xfrm>
          <a:off x="4886325" y="173355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171450</xdr:colOff>
      <xdr:row>8</xdr:row>
      <xdr:rowOff>200025</xdr:rowOff>
    </xdr:from>
    <xdr:to>
      <xdr:col>12</xdr:col>
      <xdr:colOff>238124</xdr:colOff>
      <xdr:row>10</xdr:row>
      <xdr:rowOff>0</xdr:rowOff>
    </xdr:to>
    <xdr:sp macro="" textlink="">
      <xdr:nvSpPr>
        <xdr:cNvPr id="12" name="円/楕円 10">
          <a:extLst>
            <a:ext uri="{FF2B5EF4-FFF2-40B4-BE49-F238E27FC236}">
              <a16:creationId xmlns:a16="http://schemas.microsoft.com/office/drawing/2014/main" id="{62204091-B886-409E-8BE4-26D22B9F78D3}"/>
            </a:ext>
          </a:extLst>
        </xdr:cNvPr>
        <xdr:cNvSpPr/>
      </xdr:nvSpPr>
      <xdr:spPr>
        <a:xfrm>
          <a:off x="4648200" y="19716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得意先別_SKU"/>
      <sheetName val="得意先別受注データ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748D-A937-4B0B-A94A-9D645513081E}">
  <dimension ref="B1:AC54"/>
  <sheetViews>
    <sheetView tabSelected="1" view="pageBreakPreview" zoomScaleNormal="100" zoomScaleSheetLayoutView="100" workbookViewId="0">
      <selection activeCell="B54" sqref="B54:R54"/>
    </sheetView>
  </sheetViews>
  <sheetFormatPr defaultRowHeight="14.25"/>
  <cols>
    <col min="1" max="1" width="1.25" style="47" customWidth="1"/>
    <col min="2" max="2" width="9.125" style="47" customWidth="1"/>
    <col min="3" max="3" width="2.25" style="47" customWidth="1"/>
    <col min="4" max="5" width="9.5" style="47" customWidth="1"/>
    <col min="6" max="6" width="0.5" style="47" customWidth="1"/>
    <col min="7" max="7" width="8.625" style="47" customWidth="1"/>
    <col min="8" max="8" width="4.25" style="47" customWidth="1"/>
    <col min="9" max="9" width="4.625" style="47" customWidth="1"/>
    <col min="10" max="10" width="4.25" style="47" customWidth="1"/>
    <col min="11" max="11" width="4.875" style="47" customWidth="1"/>
    <col min="12" max="12" width="3.375" style="47" customWidth="1"/>
    <col min="13" max="13" width="6" style="47" customWidth="1"/>
    <col min="14" max="14" width="3.375" style="47" customWidth="1"/>
    <col min="15" max="15" width="6" style="47" customWidth="1"/>
    <col min="16" max="16" width="4.875" style="47" customWidth="1"/>
    <col min="17" max="17" width="4.75" style="47" customWidth="1"/>
    <col min="18" max="18" width="9" style="47" customWidth="1"/>
    <col min="19" max="19" width="0.875" style="47" customWidth="1"/>
    <col min="20" max="20" width="9.375" style="20" hidden="1" customWidth="1"/>
    <col min="21" max="21" width="4.5" style="20" hidden="1" customWidth="1"/>
    <col min="22" max="22" width="8.625" style="20" hidden="1" customWidth="1"/>
    <col min="23" max="23" width="4.25" style="20" hidden="1" customWidth="1"/>
    <col min="24" max="25" width="8.625" style="20" hidden="1" customWidth="1"/>
    <col min="26" max="26" width="4.125" style="20" hidden="1" customWidth="1"/>
    <col min="27" max="27" width="7.75" style="20" hidden="1" customWidth="1"/>
    <col min="28" max="28" width="8.625" style="20" hidden="1" customWidth="1"/>
    <col min="29" max="29" width="2.75" style="47" hidden="1" customWidth="1"/>
    <col min="30" max="256" width="9" style="47"/>
    <col min="257" max="257" width="1.25" style="47" customWidth="1"/>
    <col min="258" max="258" width="9.125" style="47" customWidth="1"/>
    <col min="259" max="259" width="2.25" style="47" customWidth="1"/>
    <col min="260" max="261" width="9.5" style="47" customWidth="1"/>
    <col min="262" max="262" width="0.5" style="47" customWidth="1"/>
    <col min="263" max="263" width="8.625" style="47" customWidth="1"/>
    <col min="264" max="264" width="4.25" style="47" customWidth="1"/>
    <col min="265" max="265" width="4.625" style="47" customWidth="1"/>
    <col min="266" max="266" width="4.25" style="47" customWidth="1"/>
    <col min="267" max="267" width="4.875" style="47" customWidth="1"/>
    <col min="268" max="268" width="3.375" style="47" customWidth="1"/>
    <col min="269" max="269" width="6" style="47" customWidth="1"/>
    <col min="270" max="270" width="3.375" style="47" customWidth="1"/>
    <col min="271" max="271" width="6" style="47" customWidth="1"/>
    <col min="272" max="272" width="4.875" style="47" customWidth="1"/>
    <col min="273" max="273" width="4.75" style="47" customWidth="1"/>
    <col min="274" max="274" width="9" style="47"/>
    <col min="275" max="275" width="0.875" style="47" customWidth="1"/>
    <col min="276" max="285" width="0" style="47" hidden="1" customWidth="1"/>
    <col min="286" max="512" width="9" style="47"/>
    <col min="513" max="513" width="1.25" style="47" customWidth="1"/>
    <col min="514" max="514" width="9.125" style="47" customWidth="1"/>
    <col min="515" max="515" width="2.25" style="47" customWidth="1"/>
    <col min="516" max="517" width="9.5" style="47" customWidth="1"/>
    <col min="518" max="518" width="0.5" style="47" customWidth="1"/>
    <col min="519" max="519" width="8.625" style="47" customWidth="1"/>
    <col min="520" max="520" width="4.25" style="47" customWidth="1"/>
    <col min="521" max="521" width="4.625" style="47" customWidth="1"/>
    <col min="522" max="522" width="4.25" style="47" customWidth="1"/>
    <col min="523" max="523" width="4.875" style="47" customWidth="1"/>
    <col min="524" max="524" width="3.375" style="47" customWidth="1"/>
    <col min="525" max="525" width="6" style="47" customWidth="1"/>
    <col min="526" max="526" width="3.375" style="47" customWidth="1"/>
    <col min="527" max="527" width="6" style="47" customWidth="1"/>
    <col min="528" max="528" width="4.875" style="47" customWidth="1"/>
    <col min="529" max="529" width="4.75" style="47" customWidth="1"/>
    <col min="530" max="530" width="9" style="47"/>
    <col min="531" max="531" width="0.875" style="47" customWidth="1"/>
    <col min="532" max="541" width="0" style="47" hidden="1" customWidth="1"/>
    <col min="542" max="768" width="9" style="47"/>
    <col min="769" max="769" width="1.25" style="47" customWidth="1"/>
    <col min="770" max="770" width="9.125" style="47" customWidth="1"/>
    <col min="771" max="771" width="2.25" style="47" customWidth="1"/>
    <col min="772" max="773" width="9.5" style="47" customWidth="1"/>
    <col min="774" max="774" width="0.5" style="47" customWidth="1"/>
    <col min="775" max="775" width="8.625" style="47" customWidth="1"/>
    <col min="776" max="776" width="4.25" style="47" customWidth="1"/>
    <col min="777" max="777" width="4.625" style="47" customWidth="1"/>
    <col min="778" max="778" width="4.25" style="47" customWidth="1"/>
    <col min="779" max="779" width="4.875" style="47" customWidth="1"/>
    <col min="780" max="780" width="3.375" style="47" customWidth="1"/>
    <col min="781" max="781" width="6" style="47" customWidth="1"/>
    <col min="782" max="782" width="3.375" style="47" customWidth="1"/>
    <col min="783" max="783" width="6" style="47" customWidth="1"/>
    <col min="784" max="784" width="4.875" style="47" customWidth="1"/>
    <col min="785" max="785" width="4.75" style="47" customWidth="1"/>
    <col min="786" max="786" width="9" style="47"/>
    <col min="787" max="787" width="0.875" style="47" customWidth="1"/>
    <col min="788" max="797" width="0" style="47" hidden="1" customWidth="1"/>
    <col min="798" max="1024" width="9" style="47"/>
    <col min="1025" max="1025" width="1.25" style="47" customWidth="1"/>
    <col min="1026" max="1026" width="9.125" style="47" customWidth="1"/>
    <col min="1027" max="1027" width="2.25" style="47" customWidth="1"/>
    <col min="1028" max="1029" width="9.5" style="47" customWidth="1"/>
    <col min="1030" max="1030" width="0.5" style="47" customWidth="1"/>
    <col min="1031" max="1031" width="8.625" style="47" customWidth="1"/>
    <col min="1032" max="1032" width="4.25" style="47" customWidth="1"/>
    <col min="1033" max="1033" width="4.625" style="47" customWidth="1"/>
    <col min="1034" max="1034" width="4.25" style="47" customWidth="1"/>
    <col min="1035" max="1035" width="4.875" style="47" customWidth="1"/>
    <col min="1036" max="1036" width="3.375" style="47" customWidth="1"/>
    <col min="1037" max="1037" width="6" style="47" customWidth="1"/>
    <col min="1038" max="1038" width="3.375" style="47" customWidth="1"/>
    <col min="1039" max="1039" width="6" style="47" customWidth="1"/>
    <col min="1040" max="1040" width="4.875" style="47" customWidth="1"/>
    <col min="1041" max="1041" width="4.75" style="47" customWidth="1"/>
    <col min="1042" max="1042" width="9" style="47"/>
    <col min="1043" max="1043" width="0.875" style="47" customWidth="1"/>
    <col min="1044" max="1053" width="0" style="47" hidden="1" customWidth="1"/>
    <col min="1054" max="1280" width="9" style="47"/>
    <col min="1281" max="1281" width="1.25" style="47" customWidth="1"/>
    <col min="1282" max="1282" width="9.125" style="47" customWidth="1"/>
    <col min="1283" max="1283" width="2.25" style="47" customWidth="1"/>
    <col min="1284" max="1285" width="9.5" style="47" customWidth="1"/>
    <col min="1286" max="1286" width="0.5" style="47" customWidth="1"/>
    <col min="1287" max="1287" width="8.625" style="47" customWidth="1"/>
    <col min="1288" max="1288" width="4.25" style="47" customWidth="1"/>
    <col min="1289" max="1289" width="4.625" style="47" customWidth="1"/>
    <col min="1290" max="1290" width="4.25" style="47" customWidth="1"/>
    <col min="1291" max="1291" width="4.875" style="47" customWidth="1"/>
    <col min="1292" max="1292" width="3.375" style="47" customWidth="1"/>
    <col min="1293" max="1293" width="6" style="47" customWidth="1"/>
    <col min="1294" max="1294" width="3.375" style="47" customWidth="1"/>
    <col min="1295" max="1295" width="6" style="47" customWidth="1"/>
    <col min="1296" max="1296" width="4.875" style="47" customWidth="1"/>
    <col min="1297" max="1297" width="4.75" style="47" customWidth="1"/>
    <col min="1298" max="1298" width="9" style="47"/>
    <col min="1299" max="1299" width="0.875" style="47" customWidth="1"/>
    <col min="1300" max="1309" width="0" style="47" hidden="1" customWidth="1"/>
    <col min="1310" max="1536" width="9" style="47"/>
    <col min="1537" max="1537" width="1.25" style="47" customWidth="1"/>
    <col min="1538" max="1538" width="9.125" style="47" customWidth="1"/>
    <col min="1539" max="1539" width="2.25" style="47" customWidth="1"/>
    <col min="1540" max="1541" width="9.5" style="47" customWidth="1"/>
    <col min="1542" max="1542" width="0.5" style="47" customWidth="1"/>
    <col min="1543" max="1543" width="8.625" style="47" customWidth="1"/>
    <col min="1544" max="1544" width="4.25" style="47" customWidth="1"/>
    <col min="1545" max="1545" width="4.625" style="47" customWidth="1"/>
    <col min="1546" max="1546" width="4.25" style="47" customWidth="1"/>
    <col min="1547" max="1547" width="4.875" style="47" customWidth="1"/>
    <col min="1548" max="1548" width="3.375" style="47" customWidth="1"/>
    <col min="1549" max="1549" width="6" style="47" customWidth="1"/>
    <col min="1550" max="1550" width="3.375" style="47" customWidth="1"/>
    <col min="1551" max="1551" width="6" style="47" customWidth="1"/>
    <col min="1552" max="1552" width="4.875" style="47" customWidth="1"/>
    <col min="1553" max="1553" width="4.75" style="47" customWidth="1"/>
    <col min="1554" max="1554" width="9" style="47"/>
    <col min="1555" max="1555" width="0.875" style="47" customWidth="1"/>
    <col min="1556" max="1565" width="0" style="47" hidden="1" customWidth="1"/>
    <col min="1566" max="1792" width="9" style="47"/>
    <col min="1793" max="1793" width="1.25" style="47" customWidth="1"/>
    <col min="1794" max="1794" width="9.125" style="47" customWidth="1"/>
    <col min="1795" max="1795" width="2.25" style="47" customWidth="1"/>
    <col min="1796" max="1797" width="9.5" style="47" customWidth="1"/>
    <col min="1798" max="1798" width="0.5" style="47" customWidth="1"/>
    <col min="1799" max="1799" width="8.625" style="47" customWidth="1"/>
    <col min="1800" max="1800" width="4.25" style="47" customWidth="1"/>
    <col min="1801" max="1801" width="4.625" style="47" customWidth="1"/>
    <col min="1802" max="1802" width="4.25" style="47" customWidth="1"/>
    <col min="1803" max="1803" width="4.875" style="47" customWidth="1"/>
    <col min="1804" max="1804" width="3.375" style="47" customWidth="1"/>
    <col min="1805" max="1805" width="6" style="47" customWidth="1"/>
    <col min="1806" max="1806" width="3.375" style="47" customWidth="1"/>
    <col min="1807" max="1807" width="6" style="47" customWidth="1"/>
    <col min="1808" max="1808" width="4.875" style="47" customWidth="1"/>
    <col min="1809" max="1809" width="4.75" style="47" customWidth="1"/>
    <col min="1810" max="1810" width="9" style="47"/>
    <col min="1811" max="1811" width="0.875" style="47" customWidth="1"/>
    <col min="1812" max="1821" width="0" style="47" hidden="1" customWidth="1"/>
    <col min="1822" max="2048" width="9" style="47"/>
    <col min="2049" max="2049" width="1.25" style="47" customWidth="1"/>
    <col min="2050" max="2050" width="9.125" style="47" customWidth="1"/>
    <col min="2051" max="2051" width="2.25" style="47" customWidth="1"/>
    <col min="2052" max="2053" width="9.5" style="47" customWidth="1"/>
    <col min="2054" max="2054" width="0.5" style="47" customWidth="1"/>
    <col min="2055" max="2055" width="8.625" style="47" customWidth="1"/>
    <col min="2056" max="2056" width="4.25" style="47" customWidth="1"/>
    <col min="2057" max="2057" width="4.625" style="47" customWidth="1"/>
    <col min="2058" max="2058" width="4.25" style="47" customWidth="1"/>
    <col min="2059" max="2059" width="4.875" style="47" customWidth="1"/>
    <col min="2060" max="2060" width="3.375" style="47" customWidth="1"/>
    <col min="2061" max="2061" width="6" style="47" customWidth="1"/>
    <col min="2062" max="2062" width="3.375" style="47" customWidth="1"/>
    <col min="2063" max="2063" width="6" style="47" customWidth="1"/>
    <col min="2064" max="2064" width="4.875" style="47" customWidth="1"/>
    <col min="2065" max="2065" width="4.75" style="47" customWidth="1"/>
    <col min="2066" max="2066" width="9" style="47"/>
    <col min="2067" max="2067" width="0.875" style="47" customWidth="1"/>
    <col min="2068" max="2077" width="0" style="47" hidden="1" customWidth="1"/>
    <col min="2078" max="2304" width="9" style="47"/>
    <col min="2305" max="2305" width="1.25" style="47" customWidth="1"/>
    <col min="2306" max="2306" width="9.125" style="47" customWidth="1"/>
    <col min="2307" max="2307" width="2.25" style="47" customWidth="1"/>
    <col min="2308" max="2309" width="9.5" style="47" customWidth="1"/>
    <col min="2310" max="2310" width="0.5" style="47" customWidth="1"/>
    <col min="2311" max="2311" width="8.625" style="47" customWidth="1"/>
    <col min="2312" max="2312" width="4.25" style="47" customWidth="1"/>
    <col min="2313" max="2313" width="4.625" style="47" customWidth="1"/>
    <col min="2314" max="2314" width="4.25" style="47" customWidth="1"/>
    <col min="2315" max="2315" width="4.875" style="47" customWidth="1"/>
    <col min="2316" max="2316" width="3.375" style="47" customWidth="1"/>
    <col min="2317" max="2317" width="6" style="47" customWidth="1"/>
    <col min="2318" max="2318" width="3.375" style="47" customWidth="1"/>
    <col min="2319" max="2319" width="6" style="47" customWidth="1"/>
    <col min="2320" max="2320" width="4.875" style="47" customWidth="1"/>
    <col min="2321" max="2321" width="4.75" style="47" customWidth="1"/>
    <col min="2322" max="2322" width="9" style="47"/>
    <col min="2323" max="2323" width="0.875" style="47" customWidth="1"/>
    <col min="2324" max="2333" width="0" style="47" hidden="1" customWidth="1"/>
    <col min="2334" max="2560" width="9" style="47"/>
    <col min="2561" max="2561" width="1.25" style="47" customWidth="1"/>
    <col min="2562" max="2562" width="9.125" style="47" customWidth="1"/>
    <col min="2563" max="2563" width="2.25" style="47" customWidth="1"/>
    <col min="2564" max="2565" width="9.5" style="47" customWidth="1"/>
    <col min="2566" max="2566" width="0.5" style="47" customWidth="1"/>
    <col min="2567" max="2567" width="8.625" style="47" customWidth="1"/>
    <col min="2568" max="2568" width="4.25" style="47" customWidth="1"/>
    <col min="2569" max="2569" width="4.625" style="47" customWidth="1"/>
    <col min="2570" max="2570" width="4.25" style="47" customWidth="1"/>
    <col min="2571" max="2571" width="4.875" style="47" customWidth="1"/>
    <col min="2572" max="2572" width="3.375" style="47" customWidth="1"/>
    <col min="2573" max="2573" width="6" style="47" customWidth="1"/>
    <col min="2574" max="2574" width="3.375" style="47" customWidth="1"/>
    <col min="2575" max="2575" width="6" style="47" customWidth="1"/>
    <col min="2576" max="2576" width="4.875" style="47" customWidth="1"/>
    <col min="2577" max="2577" width="4.75" style="47" customWidth="1"/>
    <col min="2578" max="2578" width="9" style="47"/>
    <col min="2579" max="2579" width="0.875" style="47" customWidth="1"/>
    <col min="2580" max="2589" width="0" style="47" hidden="1" customWidth="1"/>
    <col min="2590" max="2816" width="9" style="47"/>
    <col min="2817" max="2817" width="1.25" style="47" customWidth="1"/>
    <col min="2818" max="2818" width="9.125" style="47" customWidth="1"/>
    <col min="2819" max="2819" width="2.25" style="47" customWidth="1"/>
    <col min="2820" max="2821" width="9.5" style="47" customWidth="1"/>
    <col min="2822" max="2822" width="0.5" style="47" customWidth="1"/>
    <col min="2823" max="2823" width="8.625" style="47" customWidth="1"/>
    <col min="2824" max="2824" width="4.25" style="47" customWidth="1"/>
    <col min="2825" max="2825" width="4.625" style="47" customWidth="1"/>
    <col min="2826" max="2826" width="4.25" style="47" customWidth="1"/>
    <col min="2827" max="2827" width="4.875" style="47" customWidth="1"/>
    <col min="2828" max="2828" width="3.375" style="47" customWidth="1"/>
    <col min="2829" max="2829" width="6" style="47" customWidth="1"/>
    <col min="2830" max="2830" width="3.375" style="47" customWidth="1"/>
    <col min="2831" max="2831" width="6" style="47" customWidth="1"/>
    <col min="2832" max="2832" width="4.875" style="47" customWidth="1"/>
    <col min="2833" max="2833" width="4.75" style="47" customWidth="1"/>
    <col min="2834" max="2834" width="9" style="47"/>
    <col min="2835" max="2835" width="0.875" style="47" customWidth="1"/>
    <col min="2836" max="2845" width="0" style="47" hidden="1" customWidth="1"/>
    <col min="2846" max="3072" width="9" style="47"/>
    <col min="3073" max="3073" width="1.25" style="47" customWidth="1"/>
    <col min="3074" max="3074" width="9.125" style="47" customWidth="1"/>
    <col min="3075" max="3075" width="2.25" style="47" customWidth="1"/>
    <col min="3076" max="3077" width="9.5" style="47" customWidth="1"/>
    <col min="3078" max="3078" width="0.5" style="47" customWidth="1"/>
    <col min="3079" max="3079" width="8.625" style="47" customWidth="1"/>
    <col min="3080" max="3080" width="4.25" style="47" customWidth="1"/>
    <col min="3081" max="3081" width="4.625" style="47" customWidth="1"/>
    <col min="3082" max="3082" width="4.25" style="47" customWidth="1"/>
    <col min="3083" max="3083" width="4.875" style="47" customWidth="1"/>
    <col min="3084" max="3084" width="3.375" style="47" customWidth="1"/>
    <col min="3085" max="3085" width="6" style="47" customWidth="1"/>
    <col min="3086" max="3086" width="3.375" style="47" customWidth="1"/>
    <col min="3087" max="3087" width="6" style="47" customWidth="1"/>
    <col min="3088" max="3088" width="4.875" style="47" customWidth="1"/>
    <col min="3089" max="3089" width="4.75" style="47" customWidth="1"/>
    <col min="3090" max="3090" width="9" style="47"/>
    <col min="3091" max="3091" width="0.875" style="47" customWidth="1"/>
    <col min="3092" max="3101" width="0" style="47" hidden="1" customWidth="1"/>
    <col min="3102" max="3328" width="9" style="47"/>
    <col min="3329" max="3329" width="1.25" style="47" customWidth="1"/>
    <col min="3330" max="3330" width="9.125" style="47" customWidth="1"/>
    <col min="3331" max="3331" width="2.25" style="47" customWidth="1"/>
    <col min="3332" max="3333" width="9.5" style="47" customWidth="1"/>
    <col min="3334" max="3334" width="0.5" style="47" customWidth="1"/>
    <col min="3335" max="3335" width="8.625" style="47" customWidth="1"/>
    <col min="3336" max="3336" width="4.25" style="47" customWidth="1"/>
    <col min="3337" max="3337" width="4.625" style="47" customWidth="1"/>
    <col min="3338" max="3338" width="4.25" style="47" customWidth="1"/>
    <col min="3339" max="3339" width="4.875" style="47" customWidth="1"/>
    <col min="3340" max="3340" width="3.375" style="47" customWidth="1"/>
    <col min="3341" max="3341" width="6" style="47" customWidth="1"/>
    <col min="3342" max="3342" width="3.375" style="47" customWidth="1"/>
    <col min="3343" max="3343" width="6" style="47" customWidth="1"/>
    <col min="3344" max="3344" width="4.875" style="47" customWidth="1"/>
    <col min="3345" max="3345" width="4.75" style="47" customWidth="1"/>
    <col min="3346" max="3346" width="9" style="47"/>
    <col min="3347" max="3347" width="0.875" style="47" customWidth="1"/>
    <col min="3348" max="3357" width="0" style="47" hidden="1" customWidth="1"/>
    <col min="3358" max="3584" width="9" style="47"/>
    <col min="3585" max="3585" width="1.25" style="47" customWidth="1"/>
    <col min="3586" max="3586" width="9.125" style="47" customWidth="1"/>
    <col min="3587" max="3587" width="2.25" style="47" customWidth="1"/>
    <col min="3588" max="3589" width="9.5" style="47" customWidth="1"/>
    <col min="3590" max="3590" width="0.5" style="47" customWidth="1"/>
    <col min="3591" max="3591" width="8.625" style="47" customWidth="1"/>
    <col min="3592" max="3592" width="4.25" style="47" customWidth="1"/>
    <col min="3593" max="3593" width="4.625" style="47" customWidth="1"/>
    <col min="3594" max="3594" width="4.25" style="47" customWidth="1"/>
    <col min="3595" max="3595" width="4.875" style="47" customWidth="1"/>
    <col min="3596" max="3596" width="3.375" style="47" customWidth="1"/>
    <col min="3597" max="3597" width="6" style="47" customWidth="1"/>
    <col min="3598" max="3598" width="3.375" style="47" customWidth="1"/>
    <col min="3599" max="3599" width="6" style="47" customWidth="1"/>
    <col min="3600" max="3600" width="4.875" style="47" customWidth="1"/>
    <col min="3601" max="3601" width="4.75" style="47" customWidth="1"/>
    <col min="3602" max="3602" width="9" style="47"/>
    <col min="3603" max="3603" width="0.875" style="47" customWidth="1"/>
    <col min="3604" max="3613" width="0" style="47" hidden="1" customWidth="1"/>
    <col min="3614" max="3840" width="9" style="47"/>
    <col min="3841" max="3841" width="1.25" style="47" customWidth="1"/>
    <col min="3842" max="3842" width="9.125" style="47" customWidth="1"/>
    <col min="3843" max="3843" width="2.25" style="47" customWidth="1"/>
    <col min="3844" max="3845" width="9.5" style="47" customWidth="1"/>
    <col min="3846" max="3846" width="0.5" style="47" customWidth="1"/>
    <col min="3847" max="3847" width="8.625" style="47" customWidth="1"/>
    <col min="3848" max="3848" width="4.25" style="47" customWidth="1"/>
    <col min="3849" max="3849" width="4.625" style="47" customWidth="1"/>
    <col min="3850" max="3850" width="4.25" style="47" customWidth="1"/>
    <col min="3851" max="3851" width="4.875" style="47" customWidth="1"/>
    <col min="3852" max="3852" width="3.375" style="47" customWidth="1"/>
    <col min="3853" max="3853" width="6" style="47" customWidth="1"/>
    <col min="3854" max="3854" width="3.375" style="47" customWidth="1"/>
    <col min="3855" max="3855" width="6" style="47" customWidth="1"/>
    <col min="3856" max="3856" width="4.875" style="47" customWidth="1"/>
    <col min="3857" max="3857" width="4.75" style="47" customWidth="1"/>
    <col min="3858" max="3858" width="9" style="47"/>
    <col min="3859" max="3859" width="0.875" style="47" customWidth="1"/>
    <col min="3860" max="3869" width="0" style="47" hidden="1" customWidth="1"/>
    <col min="3870" max="4096" width="9" style="47"/>
    <col min="4097" max="4097" width="1.25" style="47" customWidth="1"/>
    <col min="4098" max="4098" width="9.125" style="47" customWidth="1"/>
    <col min="4099" max="4099" width="2.25" style="47" customWidth="1"/>
    <col min="4100" max="4101" width="9.5" style="47" customWidth="1"/>
    <col min="4102" max="4102" width="0.5" style="47" customWidth="1"/>
    <col min="4103" max="4103" width="8.625" style="47" customWidth="1"/>
    <col min="4104" max="4104" width="4.25" style="47" customWidth="1"/>
    <col min="4105" max="4105" width="4.625" style="47" customWidth="1"/>
    <col min="4106" max="4106" width="4.25" style="47" customWidth="1"/>
    <col min="4107" max="4107" width="4.875" style="47" customWidth="1"/>
    <col min="4108" max="4108" width="3.375" style="47" customWidth="1"/>
    <col min="4109" max="4109" width="6" style="47" customWidth="1"/>
    <col min="4110" max="4110" width="3.375" style="47" customWidth="1"/>
    <col min="4111" max="4111" width="6" style="47" customWidth="1"/>
    <col min="4112" max="4112" width="4.875" style="47" customWidth="1"/>
    <col min="4113" max="4113" width="4.75" style="47" customWidth="1"/>
    <col min="4114" max="4114" width="9" style="47"/>
    <col min="4115" max="4115" width="0.875" style="47" customWidth="1"/>
    <col min="4116" max="4125" width="0" style="47" hidden="1" customWidth="1"/>
    <col min="4126" max="4352" width="9" style="47"/>
    <col min="4353" max="4353" width="1.25" style="47" customWidth="1"/>
    <col min="4354" max="4354" width="9.125" style="47" customWidth="1"/>
    <col min="4355" max="4355" width="2.25" style="47" customWidth="1"/>
    <col min="4356" max="4357" width="9.5" style="47" customWidth="1"/>
    <col min="4358" max="4358" width="0.5" style="47" customWidth="1"/>
    <col min="4359" max="4359" width="8.625" style="47" customWidth="1"/>
    <col min="4360" max="4360" width="4.25" style="47" customWidth="1"/>
    <col min="4361" max="4361" width="4.625" style="47" customWidth="1"/>
    <col min="4362" max="4362" width="4.25" style="47" customWidth="1"/>
    <col min="4363" max="4363" width="4.875" style="47" customWidth="1"/>
    <col min="4364" max="4364" width="3.375" style="47" customWidth="1"/>
    <col min="4365" max="4365" width="6" style="47" customWidth="1"/>
    <col min="4366" max="4366" width="3.375" style="47" customWidth="1"/>
    <col min="4367" max="4367" width="6" style="47" customWidth="1"/>
    <col min="4368" max="4368" width="4.875" style="47" customWidth="1"/>
    <col min="4369" max="4369" width="4.75" style="47" customWidth="1"/>
    <col min="4370" max="4370" width="9" style="47"/>
    <col min="4371" max="4371" width="0.875" style="47" customWidth="1"/>
    <col min="4372" max="4381" width="0" style="47" hidden="1" customWidth="1"/>
    <col min="4382" max="4608" width="9" style="47"/>
    <col min="4609" max="4609" width="1.25" style="47" customWidth="1"/>
    <col min="4610" max="4610" width="9.125" style="47" customWidth="1"/>
    <col min="4611" max="4611" width="2.25" style="47" customWidth="1"/>
    <col min="4612" max="4613" width="9.5" style="47" customWidth="1"/>
    <col min="4614" max="4614" width="0.5" style="47" customWidth="1"/>
    <col min="4615" max="4615" width="8.625" style="47" customWidth="1"/>
    <col min="4616" max="4616" width="4.25" style="47" customWidth="1"/>
    <col min="4617" max="4617" width="4.625" style="47" customWidth="1"/>
    <col min="4618" max="4618" width="4.25" style="47" customWidth="1"/>
    <col min="4619" max="4619" width="4.875" style="47" customWidth="1"/>
    <col min="4620" max="4620" width="3.375" style="47" customWidth="1"/>
    <col min="4621" max="4621" width="6" style="47" customWidth="1"/>
    <col min="4622" max="4622" width="3.375" style="47" customWidth="1"/>
    <col min="4623" max="4623" width="6" style="47" customWidth="1"/>
    <col min="4624" max="4624" width="4.875" style="47" customWidth="1"/>
    <col min="4625" max="4625" width="4.75" style="47" customWidth="1"/>
    <col min="4626" max="4626" width="9" style="47"/>
    <col min="4627" max="4627" width="0.875" style="47" customWidth="1"/>
    <col min="4628" max="4637" width="0" style="47" hidden="1" customWidth="1"/>
    <col min="4638" max="4864" width="9" style="47"/>
    <col min="4865" max="4865" width="1.25" style="47" customWidth="1"/>
    <col min="4866" max="4866" width="9.125" style="47" customWidth="1"/>
    <col min="4867" max="4867" width="2.25" style="47" customWidth="1"/>
    <col min="4868" max="4869" width="9.5" style="47" customWidth="1"/>
    <col min="4870" max="4870" width="0.5" style="47" customWidth="1"/>
    <col min="4871" max="4871" width="8.625" style="47" customWidth="1"/>
    <col min="4872" max="4872" width="4.25" style="47" customWidth="1"/>
    <col min="4873" max="4873" width="4.625" style="47" customWidth="1"/>
    <col min="4874" max="4874" width="4.25" style="47" customWidth="1"/>
    <col min="4875" max="4875" width="4.875" style="47" customWidth="1"/>
    <col min="4876" max="4876" width="3.375" style="47" customWidth="1"/>
    <col min="4877" max="4877" width="6" style="47" customWidth="1"/>
    <col min="4878" max="4878" width="3.375" style="47" customWidth="1"/>
    <col min="4879" max="4879" width="6" style="47" customWidth="1"/>
    <col min="4880" max="4880" width="4.875" style="47" customWidth="1"/>
    <col min="4881" max="4881" width="4.75" style="47" customWidth="1"/>
    <col min="4882" max="4882" width="9" style="47"/>
    <col min="4883" max="4883" width="0.875" style="47" customWidth="1"/>
    <col min="4884" max="4893" width="0" style="47" hidden="1" customWidth="1"/>
    <col min="4894" max="5120" width="9" style="47"/>
    <col min="5121" max="5121" width="1.25" style="47" customWidth="1"/>
    <col min="5122" max="5122" width="9.125" style="47" customWidth="1"/>
    <col min="5123" max="5123" width="2.25" style="47" customWidth="1"/>
    <col min="5124" max="5125" width="9.5" style="47" customWidth="1"/>
    <col min="5126" max="5126" width="0.5" style="47" customWidth="1"/>
    <col min="5127" max="5127" width="8.625" style="47" customWidth="1"/>
    <col min="5128" max="5128" width="4.25" style="47" customWidth="1"/>
    <col min="5129" max="5129" width="4.625" style="47" customWidth="1"/>
    <col min="5130" max="5130" width="4.25" style="47" customWidth="1"/>
    <col min="5131" max="5131" width="4.875" style="47" customWidth="1"/>
    <col min="5132" max="5132" width="3.375" style="47" customWidth="1"/>
    <col min="5133" max="5133" width="6" style="47" customWidth="1"/>
    <col min="5134" max="5134" width="3.375" style="47" customWidth="1"/>
    <col min="5135" max="5135" width="6" style="47" customWidth="1"/>
    <col min="5136" max="5136" width="4.875" style="47" customWidth="1"/>
    <col min="5137" max="5137" width="4.75" style="47" customWidth="1"/>
    <col min="5138" max="5138" width="9" style="47"/>
    <col min="5139" max="5139" width="0.875" style="47" customWidth="1"/>
    <col min="5140" max="5149" width="0" style="47" hidden="1" customWidth="1"/>
    <col min="5150" max="5376" width="9" style="47"/>
    <col min="5377" max="5377" width="1.25" style="47" customWidth="1"/>
    <col min="5378" max="5378" width="9.125" style="47" customWidth="1"/>
    <col min="5379" max="5379" width="2.25" style="47" customWidth="1"/>
    <col min="5380" max="5381" width="9.5" style="47" customWidth="1"/>
    <col min="5382" max="5382" width="0.5" style="47" customWidth="1"/>
    <col min="5383" max="5383" width="8.625" style="47" customWidth="1"/>
    <col min="5384" max="5384" width="4.25" style="47" customWidth="1"/>
    <col min="5385" max="5385" width="4.625" style="47" customWidth="1"/>
    <col min="5386" max="5386" width="4.25" style="47" customWidth="1"/>
    <col min="5387" max="5387" width="4.875" style="47" customWidth="1"/>
    <col min="5388" max="5388" width="3.375" style="47" customWidth="1"/>
    <col min="5389" max="5389" width="6" style="47" customWidth="1"/>
    <col min="5390" max="5390" width="3.375" style="47" customWidth="1"/>
    <col min="5391" max="5391" width="6" style="47" customWidth="1"/>
    <col min="5392" max="5392" width="4.875" style="47" customWidth="1"/>
    <col min="5393" max="5393" width="4.75" style="47" customWidth="1"/>
    <col min="5394" max="5394" width="9" style="47"/>
    <col min="5395" max="5395" width="0.875" style="47" customWidth="1"/>
    <col min="5396" max="5405" width="0" style="47" hidden="1" customWidth="1"/>
    <col min="5406" max="5632" width="9" style="47"/>
    <col min="5633" max="5633" width="1.25" style="47" customWidth="1"/>
    <col min="5634" max="5634" width="9.125" style="47" customWidth="1"/>
    <col min="5635" max="5635" width="2.25" style="47" customWidth="1"/>
    <col min="5636" max="5637" width="9.5" style="47" customWidth="1"/>
    <col min="5638" max="5638" width="0.5" style="47" customWidth="1"/>
    <col min="5639" max="5639" width="8.625" style="47" customWidth="1"/>
    <col min="5640" max="5640" width="4.25" style="47" customWidth="1"/>
    <col min="5641" max="5641" width="4.625" style="47" customWidth="1"/>
    <col min="5642" max="5642" width="4.25" style="47" customWidth="1"/>
    <col min="5643" max="5643" width="4.875" style="47" customWidth="1"/>
    <col min="5644" max="5644" width="3.375" style="47" customWidth="1"/>
    <col min="5645" max="5645" width="6" style="47" customWidth="1"/>
    <col min="5646" max="5646" width="3.375" style="47" customWidth="1"/>
    <col min="5647" max="5647" width="6" style="47" customWidth="1"/>
    <col min="5648" max="5648" width="4.875" style="47" customWidth="1"/>
    <col min="5649" max="5649" width="4.75" style="47" customWidth="1"/>
    <col min="5650" max="5650" width="9" style="47"/>
    <col min="5651" max="5651" width="0.875" style="47" customWidth="1"/>
    <col min="5652" max="5661" width="0" style="47" hidden="1" customWidth="1"/>
    <col min="5662" max="5888" width="9" style="47"/>
    <col min="5889" max="5889" width="1.25" style="47" customWidth="1"/>
    <col min="5890" max="5890" width="9.125" style="47" customWidth="1"/>
    <col min="5891" max="5891" width="2.25" style="47" customWidth="1"/>
    <col min="5892" max="5893" width="9.5" style="47" customWidth="1"/>
    <col min="5894" max="5894" width="0.5" style="47" customWidth="1"/>
    <col min="5895" max="5895" width="8.625" style="47" customWidth="1"/>
    <col min="5896" max="5896" width="4.25" style="47" customWidth="1"/>
    <col min="5897" max="5897" width="4.625" style="47" customWidth="1"/>
    <col min="5898" max="5898" width="4.25" style="47" customWidth="1"/>
    <col min="5899" max="5899" width="4.875" style="47" customWidth="1"/>
    <col min="5900" max="5900" width="3.375" style="47" customWidth="1"/>
    <col min="5901" max="5901" width="6" style="47" customWidth="1"/>
    <col min="5902" max="5902" width="3.375" style="47" customWidth="1"/>
    <col min="5903" max="5903" width="6" style="47" customWidth="1"/>
    <col min="5904" max="5904" width="4.875" style="47" customWidth="1"/>
    <col min="5905" max="5905" width="4.75" style="47" customWidth="1"/>
    <col min="5906" max="5906" width="9" style="47"/>
    <col min="5907" max="5907" width="0.875" style="47" customWidth="1"/>
    <col min="5908" max="5917" width="0" style="47" hidden="1" customWidth="1"/>
    <col min="5918" max="6144" width="9" style="47"/>
    <col min="6145" max="6145" width="1.25" style="47" customWidth="1"/>
    <col min="6146" max="6146" width="9.125" style="47" customWidth="1"/>
    <col min="6147" max="6147" width="2.25" style="47" customWidth="1"/>
    <col min="6148" max="6149" width="9.5" style="47" customWidth="1"/>
    <col min="6150" max="6150" width="0.5" style="47" customWidth="1"/>
    <col min="6151" max="6151" width="8.625" style="47" customWidth="1"/>
    <col min="6152" max="6152" width="4.25" style="47" customWidth="1"/>
    <col min="6153" max="6153" width="4.625" style="47" customWidth="1"/>
    <col min="6154" max="6154" width="4.25" style="47" customWidth="1"/>
    <col min="6155" max="6155" width="4.875" style="47" customWidth="1"/>
    <col min="6156" max="6156" width="3.375" style="47" customWidth="1"/>
    <col min="6157" max="6157" width="6" style="47" customWidth="1"/>
    <col min="6158" max="6158" width="3.375" style="47" customWidth="1"/>
    <col min="6159" max="6159" width="6" style="47" customWidth="1"/>
    <col min="6160" max="6160" width="4.875" style="47" customWidth="1"/>
    <col min="6161" max="6161" width="4.75" style="47" customWidth="1"/>
    <col min="6162" max="6162" width="9" style="47"/>
    <col min="6163" max="6163" width="0.875" style="47" customWidth="1"/>
    <col min="6164" max="6173" width="0" style="47" hidden="1" customWidth="1"/>
    <col min="6174" max="6400" width="9" style="47"/>
    <col min="6401" max="6401" width="1.25" style="47" customWidth="1"/>
    <col min="6402" max="6402" width="9.125" style="47" customWidth="1"/>
    <col min="6403" max="6403" width="2.25" style="47" customWidth="1"/>
    <col min="6404" max="6405" width="9.5" style="47" customWidth="1"/>
    <col min="6406" max="6406" width="0.5" style="47" customWidth="1"/>
    <col min="6407" max="6407" width="8.625" style="47" customWidth="1"/>
    <col min="6408" max="6408" width="4.25" style="47" customWidth="1"/>
    <col min="6409" max="6409" width="4.625" style="47" customWidth="1"/>
    <col min="6410" max="6410" width="4.25" style="47" customWidth="1"/>
    <col min="6411" max="6411" width="4.875" style="47" customWidth="1"/>
    <col min="6412" max="6412" width="3.375" style="47" customWidth="1"/>
    <col min="6413" max="6413" width="6" style="47" customWidth="1"/>
    <col min="6414" max="6414" width="3.375" style="47" customWidth="1"/>
    <col min="6415" max="6415" width="6" style="47" customWidth="1"/>
    <col min="6416" max="6416" width="4.875" style="47" customWidth="1"/>
    <col min="6417" max="6417" width="4.75" style="47" customWidth="1"/>
    <col min="6418" max="6418" width="9" style="47"/>
    <col min="6419" max="6419" width="0.875" style="47" customWidth="1"/>
    <col min="6420" max="6429" width="0" style="47" hidden="1" customWidth="1"/>
    <col min="6430" max="6656" width="9" style="47"/>
    <col min="6657" max="6657" width="1.25" style="47" customWidth="1"/>
    <col min="6658" max="6658" width="9.125" style="47" customWidth="1"/>
    <col min="6659" max="6659" width="2.25" style="47" customWidth="1"/>
    <col min="6660" max="6661" width="9.5" style="47" customWidth="1"/>
    <col min="6662" max="6662" width="0.5" style="47" customWidth="1"/>
    <col min="6663" max="6663" width="8.625" style="47" customWidth="1"/>
    <col min="6664" max="6664" width="4.25" style="47" customWidth="1"/>
    <col min="6665" max="6665" width="4.625" style="47" customWidth="1"/>
    <col min="6666" max="6666" width="4.25" style="47" customWidth="1"/>
    <col min="6667" max="6667" width="4.875" style="47" customWidth="1"/>
    <col min="6668" max="6668" width="3.375" style="47" customWidth="1"/>
    <col min="6669" max="6669" width="6" style="47" customWidth="1"/>
    <col min="6670" max="6670" width="3.375" style="47" customWidth="1"/>
    <col min="6671" max="6671" width="6" style="47" customWidth="1"/>
    <col min="6672" max="6672" width="4.875" style="47" customWidth="1"/>
    <col min="6673" max="6673" width="4.75" style="47" customWidth="1"/>
    <col min="6674" max="6674" width="9" style="47"/>
    <col min="6675" max="6675" width="0.875" style="47" customWidth="1"/>
    <col min="6676" max="6685" width="0" style="47" hidden="1" customWidth="1"/>
    <col min="6686" max="6912" width="9" style="47"/>
    <col min="6913" max="6913" width="1.25" style="47" customWidth="1"/>
    <col min="6914" max="6914" width="9.125" style="47" customWidth="1"/>
    <col min="6915" max="6915" width="2.25" style="47" customWidth="1"/>
    <col min="6916" max="6917" width="9.5" style="47" customWidth="1"/>
    <col min="6918" max="6918" width="0.5" style="47" customWidth="1"/>
    <col min="6919" max="6919" width="8.625" style="47" customWidth="1"/>
    <col min="6920" max="6920" width="4.25" style="47" customWidth="1"/>
    <col min="6921" max="6921" width="4.625" style="47" customWidth="1"/>
    <col min="6922" max="6922" width="4.25" style="47" customWidth="1"/>
    <col min="6923" max="6923" width="4.875" style="47" customWidth="1"/>
    <col min="6924" max="6924" width="3.375" style="47" customWidth="1"/>
    <col min="6925" max="6925" width="6" style="47" customWidth="1"/>
    <col min="6926" max="6926" width="3.375" style="47" customWidth="1"/>
    <col min="6927" max="6927" width="6" style="47" customWidth="1"/>
    <col min="6928" max="6928" width="4.875" style="47" customWidth="1"/>
    <col min="6929" max="6929" width="4.75" style="47" customWidth="1"/>
    <col min="6930" max="6930" width="9" style="47"/>
    <col min="6931" max="6931" width="0.875" style="47" customWidth="1"/>
    <col min="6932" max="6941" width="0" style="47" hidden="1" customWidth="1"/>
    <col min="6942" max="7168" width="9" style="47"/>
    <col min="7169" max="7169" width="1.25" style="47" customWidth="1"/>
    <col min="7170" max="7170" width="9.125" style="47" customWidth="1"/>
    <col min="7171" max="7171" width="2.25" style="47" customWidth="1"/>
    <col min="7172" max="7173" width="9.5" style="47" customWidth="1"/>
    <col min="7174" max="7174" width="0.5" style="47" customWidth="1"/>
    <col min="7175" max="7175" width="8.625" style="47" customWidth="1"/>
    <col min="7176" max="7176" width="4.25" style="47" customWidth="1"/>
    <col min="7177" max="7177" width="4.625" style="47" customWidth="1"/>
    <col min="7178" max="7178" width="4.25" style="47" customWidth="1"/>
    <col min="7179" max="7179" width="4.875" style="47" customWidth="1"/>
    <col min="7180" max="7180" width="3.375" style="47" customWidth="1"/>
    <col min="7181" max="7181" width="6" style="47" customWidth="1"/>
    <col min="7182" max="7182" width="3.375" style="47" customWidth="1"/>
    <col min="7183" max="7183" width="6" style="47" customWidth="1"/>
    <col min="7184" max="7184" width="4.875" style="47" customWidth="1"/>
    <col min="7185" max="7185" width="4.75" style="47" customWidth="1"/>
    <col min="7186" max="7186" width="9" style="47"/>
    <col min="7187" max="7187" width="0.875" style="47" customWidth="1"/>
    <col min="7188" max="7197" width="0" style="47" hidden="1" customWidth="1"/>
    <col min="7198" max="7424" width="9" style="47"/>
    <col min="7425" max="7425" width="1.25" style="47" customWidth="1"/>
    <col min="7426" max="7426" width="9.125" style="47" customWidth="1"/>
    <col min="7427" max="7427" width="2.25" style="47" customWidth="1"/>
    <col min="7428" max="7429" width="9.5" style="47" customWidth="1"/>
    <col min="7430" max="7430" width="0.5" style="47" customWidth="1"/>
    <col min="7431" max="7431" width="8.625" style="47" customWidth="1"/>
    <col min="7432" max="7432" width="4.25" style="47" customWidth="1"/>
    <col min="7433" max="7433" width="4.625" style="47" customWidth="1"/>
    <col min="7434" max="7434" width="4.25" style="47" customWidth="1"/>
    <col min="7435" max="7435" width="4.875" style="47" customWidth="1"/>
    <col min="7436" max="7436" width="3.375" style="47" customWidth="1"/>
    <col min="7437" max="7437" width="6" style="47" customWidth="1"/>
    <col min="7438" max="7438" width="3.375" style="47" customWidth="1"/>
    <col min="7439" max="7439" width="6" style="47" customWidth="1"/>
    <col min="7440" max="7440" width="4.875" style="47" customWidth="1"/>
    <col min="7441" max="7441" width="4.75" style="47" customWidth="1"/>
    <col min="7442" max="7442" width="9" style="47"/>
    <col min="7443" max="7443" width="0.875" style="47" customWidth="1"/>
    <col min="7444" max="7453" width="0" style="47" hidden="1" customWidth="1"/>
    <col min="7454" max="7680" width="9" style="47"/>
    <col min="7681" max="7681" width="1.25" style="47" customWidth="1"/>
    <col min="7682" max="7682" width="9.125" style="47" customWidth="1"/>
    <col min="7683" max="7683" width="2.25" style="47" customWidth="1"/>
    <col min="7684" max="7685" width="9.5" style="47" customWidth="1"/>
    <col min="7686" max="7686" width="0.5" style="47" customWidth="1"/>
    <col min="7687" max="7687" width="8.625" style="47" customWidth="1"/>
    <col min="7688" max="7688" width="4.25" style="47" customWidth="1"/>
    <col min="7689" max="7689" width="4.625" style="47" customWidth="1"/>
    <col min="7690" max="7690" width="4.25" style="47" customWidth="1"/>
    <col min="7691" max="7691" width="4.875" style="47" customWidth="1"/>
    <col min="7692" max="7692" width="3.375" style="47" customWidth="1"/>
    <col min="7693" max="7693" width="6" style="47" customWidth="1"/>
    <col min="7694" max="7694" width="3.375" style="47" customWidth="1"/>
    <col min="7695" max="7695" width="6" style="47" customWidth="1"/>
    <col min="7696" max="7696" width="4.875" style="47" customWidth="1"/>
    <col min="7697" max="7697" width="4.75" style="47" customWidth="1"/>
    <col min="7698" max="7698" width="9" style="47"/>
    <col min="7699" max="7699" width="0.875" style="47" customWidth="1"/>
    <col min="7700" max="7709" width="0" style="47" hidden="1" customWidth="1"/>
    <col min="7710" max="7936" width="9" style="47"/>
    <col min="7937" max="7937" width="1.25" style="47" customWidth="1"/>
    <col min="7938" max="7938" width="9.125" style="47" customWidth="1"/>
    <col min="7939" max="7939" width="2.25" style="47" customWidth="1"/>
    <col min="7940" max="7941" width="9.5" style="47" customWidth="1"/>
    <col min="7942" max="7942" width="0.5" style="47" customWidth="1"/>
    <col min="7943" max="7943" width="8.625" style="47" customWidth="1"/>
    <col min="7944" max="7944" width="4.25" style="47" customWidth="1"/>
    <col min="7945" max="7945" width="4.625" style="47" customWidth="1"/>
    <col min="7946" max="7946" width="4.25" style="47" customWidth="1"/>
    <col min="7947" max="7947" width="4.875" style="47" customWidth="1"/>
    <col min="7948" max="7948" width="3.375" style="47" customWidth="1"/>
    <col min="7949" max="7949" width="6" style="47" customWidth="1"/>
    <col min="7950" max="7950" width="3.375" style="47" customWidth="1"/>
    <col min="7951" max="7951" width="6" style="47" customWidth="1"/>
    <col min="7952" max="7952" width="4.875" style="47" customWidth="1"/>
    <col min="7953" max="7953" width="4.75" style="47" customWidth="1"/>
    <col min="7954" max="7954" width="9" style="47"/>
    <col min="7955" max="7955" width="0.875" style="47" customWidth="1"/>
    <col min="7956" max="7965" width="0" style="47" hidden="1" customWidth="1"/>
    <col min="7966" max="8192" width="9" style="47"/>
    <col min="8193" max="8193" width="1.25" style="47" customWidth="1"/>
    <col min="8194" max="8194" width="9.125" style="47" customWidth="1"/>
    <col min="8195" max="8195" width="2.25" style="47" customWidth="1"/>
    <col min="8196" max="8197" width="9.5" style="47" customWidth="1"/>
    <col min="8198" max="8198" width="0.5" style="47" customWidth="1"/>
    <col min="8199" max="8199" width="8.625" style="47" customWidth="1"/>
    <col min="8200" max="8200" width="4.25" style="47" customWidth="1"/>
    <col min="8201" max="8201" width="4.625" style="47" customWidth="1"/>
    <col min="8202" max="8202" width="4.25" style="47" customWidth="1"/>
    <col min="8203" max="8203" width="4.875" style="47" customWidth="1"/>
    <col min="8204" max="8204" width="3.375" style="47" customWidth="1"/>
    <col min="8205" max="8205" width="6" style="47" customWidth="1"/>
    <col min="8206" max="8206" width="3.375" style="47" customWidth="1"/>
    <col min="8207" max="8207" width="6" style="47" customWidth="1"/>
    <col min="8208" max="8208" width="4.875" style="47" customWidth="1"/>
    <col min="8209" max="8209" width="4.75" style="47" customWidth="1"/>
    <col min="8210" max="8210" width="9" style="47"/>
    <col min="8211" max="8211" width="0.875" style="47" customWidth="1"/>
    <col min="8212" max="8221" width="0" style="47" hidden="1" customWidth="1"/>
    <col min="8222" max="8448" width="9" style="47"/>
    <col min="8449" max="8449" width="1.25" style="47" customWidth="1"/>
    <col min="8450" max="8450" width="9.125" style="47" customWidth="1"/>
    <col min="8451" max="8451" width="2.25" style="47" customWidth="1"/>
    <col min="8452" max="8453" width="9.5" style="47" customWidth="1"/>
    <col min="8454" max="8454" width="0.5" style="47" customWidth="1"/>
    <col min="8455" max="8455" width="8.625" style="47" customWidth="1"/>
    <col min="8456" max="8456" width="4.25" style="47" customWidth="1"/>
    <col min="8457" max="8457" width="4.625" style="47" customWidth="1"/>
    <col min="8458" max="8458" width="4.25" style="47" customWidth="1"/>
    <col min="8459" max="8459" width="4.875" style="47" customWidth="1"/>
    <col min="8460" max="8460" width="3.375" style="47" customWidth="1"/>
    <col min="8461" max="8461" width="6" style="47" customWidth="1"/>
    <col min="8462" max="8462" width="3.375" style="47" customWidth="1"/>
    <col min="8463" max="8463" width="6" style="47" customWidth="1"/>
    <col min="8464" max="8464" width="4.875" style="47" customWidth="1"/>
    <col min="8465" max="8465" width="4.75" style="47" customWidth="1"/>
    <col min="8466" max="8466" width="9" style="47"/>
    <col min="8467" max="8467" width="0.875" style="47" customWidth="1"/>
    <col min="8468" max="8477" width="0" style="47" hidden="1" customWidth="1"/>
    <col min="8478" max="8704" width="9" style="47"/>
    <col min="8705" max="8705" width="1.25" style="47" customWidth="1"/>
    <col min="8706" max="8706" width="9.125" style="47" customWidth="1"/>
    <col min="8707" max="8707" width="2.25" style="47" customWidth="1"/>
    <col min="8708" max="8709" width="9.5" style="47" customWidth="1"/>
    <col min="8710" max="8710" width="0.5" style="47" customWidth="1"/>
    <col min="8711" max="8711" width="8.625" style="47" customWidth="1"/>
    <col min="8712" max="8712" width="4.25" style="47" customWidth="1"/>
    <col min="8713" max="8713" width="4.625" style="47" customWidth="1"/>
    <col min="8714" max="8714" width="4.25" style="47" customWidth="1"/>
    <col min="8715" max="8715" width="4.875" style="47" customWidth="1"/>
    <col min="8716" max="8716" width="3.375" style="47" customWidth="1"/>
    <col min="8717" max="8717" width="6" style="47" customWidth="1"/>
    <col min="8718" max="8718" width="3.375" style="47" customWidth="1"/>
    <col min="8719" max="8719" width="6" style="47" customWidth="1"/>
    <col min="8720" max="8720" width="4.875" style="47" customWidth="1"/>
    <col min="8721" max="8721" width="4.75" style="47" customWidth="1"/>
    <col min="8722" max="8722" width="9" style="47"/>
    <col min="8723" max="8723" width="0.875" style="47" customWidth="1"/>
    <col min="8724" max="8733" width="0" style="47" hidden="1" customWidth="1"/>
    <col min="8734" max="8960" width="9" style="47"/>
    <col min="8961" max="8961" width="1.25" style="47" customWidth="1"/>
    <col min="8962" max="8962" width="9.125" style="47" customWidth="1"/>
    <col min="8963" max="8963" width="2.25" style="47" customWidth="1"/>
    <col min="8964" max="8965" width="9.5" style="47" customWidth="1"/>
    <col min="8966" max="8966" width="0.5" style="47" customWidth="1"/>
    <col min="8967" max="8967" width="8.625" style="47" customWidth="1"/>
    <col min="8968" max="8968" width="4.25" style="47" customWidth="1"/>
    <col min="8969" max="8969" width="4.625" style="47" customWidth="1"/>
    <col min="8970" max="8970" width="4.25" style="47" customWidth="1"/>
    <col min="8971" max="8971" width="4.875" style="47" customWidth="1"/>
    <col min="8972" max="8972" width="3.375" style="47" customWidth="1"/>
    <col min="8973" max="8973" width="6" style="47" customWidth="1"/>
    <col min="8974" max="8974" width="3.375" style="47" customWidth="1"/>
    <col min="8975" max="8975" width="6" style="47" customWidth="1"/>
    <col min="8976" max="8976" width="4.875" style="47" customWidth="1"/>
    <col min="8977" max="8977" width="4.75" style="47" customWidth="1"/>
    <col min="8978" max="8978" width="9" style="47"/>
    <col min="8979" max="8979" width="0.875" style="47" customWidth="1"/>
    <col min="8980" max="8989" width="0" style="47" hidden="1" customWidth="1"/>
    <col min="8990" max="9216" width="9" style="47"/>
    <col min="9217" max="9217" width="1.25" style="47" customWidth="1"/>
    <col min="9218" max="9218" width="9.125" style="47" customWidth="1"/>
    <col min="9219" max="9219" width="2.25" style="47" customWidth="1"/>
    <col min="9220" max="9221" width="9.5" style="47" customWidth="1"/>
    <col min="9222" max="9222" width="0.5" style="47" customWidth="1"/>
    <col min="9223" max="9223" width="8.625" style="47" customWidth="1"/>
    <col min="9224" max="9224" width="4.25" style="47" customWidth="1"/>
    <col min="9225" max="9225" width="4.625" style="47" customWidth="1"/>
    <col min="9226" max="9226" width="4.25" style="47" customWidth="1"/>
    <col min="9227" max="9227" width="4.875" style="47" customWidth="1"/>
    <col min="9228" max="9228" width="3.375" style="47" customWidth="1"/>
    <col min="9229" max="9229" width="6" style="47" customWidth="1"/>
    <col min="9230" max="9230" width="3.375" style="47" customWidth="1"/>
    <col min="9231" max="9231" width="6" style="47" customWidth="1"/>
    <col min="9232" max="9232" width="4.875" style="47" customWidth="1"/>
    <col min="9233" max="9233" width="4.75" style="47" customWidth="1"/>
    <col min="9234" max="9234" width="9" style="47"/>
    <col min="9235" max="9235" width="0.875" style="47" customWidth="1"/>
    <col min="9236" max="9245" width="0" style="47" hidden="1" customWidth="1"/>
    <col min="9246" max="9472" width="9" style="47"/>
    <col min="9473" max="9473" width="1.25" style="47" customWidth="1"/>
    <col min="9474" max="9474" width="9.125" style="47" customWidth="1"/>
    <col min="9475" max="9475" width="2.25" style="47" customWidth="1"/>
    <col min="9476" max="9477" width="9.5" style="47" customWidth="1"/>
    <col min="9478" max="9478" width="0.5" style="47" customWidth="1"/>
    <col min="9479" max="9479" width="8.625" style="47" customWidth="1"/>
    <col min="9480" max="9480" width="4.25" style="47" customWidth="1"/>
    <col min="9481" max="9481" width="4.625" style="47" customWidth="1"/>
    <col min="9482" max="9482" width="4.25" style="47" customWidth="1"/>
    <col min="9483" max="9483" width="4.875" style="47" customWidth="1"/>
    <col min="9484" max="9484" width="3.375" style="47" customWidth="1"/>
    <col min="9485" max="9485" width="6" style="47" customWidth="1"/>
    <col min="9486" max="9486" width="3.375" style="47" customWidth="1"/>
    <col min="9487" max="9487" width="6" style="47" customWidth="1"/>
    <col min="9488" max="9488" width="4.875" style="47" customWidth="1"/>
    <col min="9489" max="9489" width="4.75" style="47" customWidth="1"/>
    <col min="9490" max="9490" width="9" style="47"/>
    <col min="9491" max="9491" width="0.875" style="47" customWidth="1"/>
    <col min="9492" max="9501" width="0" style="47" hidden="1" customWidth="1"/>
    <col min="9502" max="9728" width="9" style="47"/>
    <col min="9729" max="9729" width="1.25" style="47" customWidth="1"/>
    <col min="9730" max="9730" width="9.125" style="47" customWidth="1"/>
    <col min="9731" max="9731" width="2.25" style="47" customWidth="1"/>
    <col min="9732" max="9733" width="9.5" style="47" customWidth="1"/>
    <col min="9734" max="9734" width="0.5" style="47" customWidth="1"/>
    <col min="9735" max="9735" width="8.625" style="47" customWidth="1"/>
    <col min="9736" max="9736" width="4.25" style="47" customWidth="1"/>
    <col min="9737" max="9737" width="4.625" style="47" customWidth="1"/>
    <col min="9738" max="9738" width="4.25" style="47" customWidth="1"/>
    <col min="9739" max="9739" width="4.875" style="47" customWidth="1"/>
    <col min="9740" max="9740" width="3.375" style="47" customWidth="1"/>
    <col min="9741" max="9741" width="6" style="47" customWidth="1"/>
    <col min="9742" max="9742" width="3.375" style="47" customWidth="1"/>
    <col min="9743" max="9743" width="6" style="47" customWidth="1"/>
    <col min="9744" max="9744" width="4.875" style="47" customWidth="1"/>
    <col min="9745" max="9745" width="4.75" style="47" customWidth="1"/>
    <col min="9746" max="9746" width="9" style="47"/>
    <col min="9747" max="9747" width="0.875" style="47" customWidth="1"/>
    <col min="9748" max="9757" width="0" style="47" hidden="1" customWidth="1"/>
    <col min="9758" max="9984" width="9" style="47"/>
    <col min="9985" max="9985" width="1.25" style="47" customWidth="1"/>
    <col min="9986" max="9986" width="9.125" style="47" customWidth="1"/>
    <col min="9987" max="9987" width="2.25" style="47" customWidth="1"/>
    <col min="9988" max="9989" width="9.5" style="47" customWidth="1"/>
    <col min="9990" max="9990" width="0.5" style="47" customWidth="1"/>
    <col min="9991" max="9991" width="8.625" style="47" customWidth="1"/>
    <col min="9992" max="9992" width="4.25" style="47" customWidth="1"/>
    <col min="9993" max="9993" width="4.625" style="47" customWidth="1"/>
    <col min="9994" max="9994" width="4.25" style="47" customWidth="1"/>
    <col min="9995" max="9995" width="4.875" style="47" customWidth="1"/>
    <col min="9996" max="9996" width="3.375" style="47" customWidth="1"/>
    <col min="9997" max="9997" width="6" style="47" customWidth="1"/>
    <col min="9998" max="9998" width="3.375" style="47" customWidth="1"/>
    <col min="9999" max="9999" width="6" style="47" customWidth="1"/>
    <col min="10000" max="10000" width="4.875" style="47" customWidth="1"/>
    <col min="10001" max="10001" width="4.75" style="47" customWidth="1"/>
    <col min="10002" max="10002" width="9" style="47"/>
    <col min="10003" max="10003" width="0.875" style="47" customWidth="1"/>
    <col min="10004" max="10013" width="0" style="47" hidden="1" customWidth="1"/>
    <col min="10014" max="10240" width="9" style="47"/>
    <col min="10241" max="10241" width="1.25" style="47" customWidth="1"/>
    <col min="10242" max="10242" width="9.125" style="47" customWidth="1"/>
    <col min="10243" max="10243" width="2.25" style="47" customWidth="1"/>
    <col min="10244" max="10245" width="9.5" style="47" customWidth="1"/>
    <col min="10246" max="10246" width="0.5" style="47" customWidth="1"/>
    <col min="10247" max="10247" width="8.625" style="47" customWidth="1"/>
    <col min="10248" max="10248" width="4.25" style="47" customWidth="1"/>
    <col min="10249" max="10249" width="4.625" style="47" customWidth="1"/>
    <col min="10250" max="10250" width="4.25" style="47" customWidth="1"/>
    <col min="10251" max="10251" width="4.875" style="47" customWidth="1"/>
    <col min="10252" max="10252" width="3.375" style="47" customWidth="1"/>
    <col min="10253" max="10253" width="6" style="47" customWidth="1"/>
    <col min="10254" max="10254" width="3.375" style="47" customWidth="1"/>
    <col min="10255" max="10255" width="6" style="47" customWidth="1"/>
    <col min="10256" max="10256" width="4.875" style="47" customWidth="1"/>
    <col min="10257" max="10257" width="4.75" style="47" customWidth="1"/>
    <col min="10258" max="10258" width="9" style="47"/>
    <col min="10259" max="10259" width="0.875" style="47" customWidth="1"/>
    <col min="10260" max="10269" width="0" style="47" hidden="1" customWidth="1"/>
    <col min="10270" max="10496" width="9" style="47"/>
    <col min="10497" max="10497" width="1.25" style="47" customWidth="1"/>
    <col min="10498" max="10498" width="9.125" style="47" customWidth="1"/>
    <col min="10499" max="10499" width="2.25" style="47" customWidth="1"/>
    <col min="10500" max="10501" width="9.5" style="47" customWidth="1"/>
    <col min="10502" max="10502" width="0.5" style="47" customWidth="1"/>
    <col min="10503" max="10503" width="8.625" style="47" customWidth="1"/>
    <col min="10504" max="10504" width="4.25" style="47" customWidth="1"/>
    <col min="10505" max="10505" width="4.625" style="47" customWidth="1"/>
    <col min="10506" max="10506" width="4.25" style="47" customWidth="1"/>
    <col min="10507" max="10507" width="4.875" style="47" customWidth="1"/>
    <col min="10508" max="10508" width="3.375" style="47" customWidth="1"/>
    <col min="10509" max="10509" width="6" style="47" customWidth="1"/>
    <col min="10510" max="10510" width="3.375" style="47" customWidth="1"/>
    <col min="10511" max="10511" width="6" style="47" customWidth="1"/>
    <col min="10512" max="10512" width="4.875" style="47" customWidth="1"/>
    <col min="10513" max="10513" width="4.75" style="47" customWidth="1"/>
    <col min="10514" max="10514" width="9" style="47"/>
    <col min="10515" max="10515" width="0.875" style="47" customWidth="1"/>
    <col min="10516" max="10525" width="0" style="47" hidden="1" customWidth="1"/>
    <col min="10526" max="10752" width="9" style="47"/>
    <col min="10753" max="10753" width="1.25" style="47" customWidth="1"/>
    <col min="10754" max="10754" width="9.125" style="47" customWidth="1"/>
    <col min="10755" max="10755" width="2.25" style="47" customWidth="1"/>
    <col min="10756" max="10757" width="9.5" style="47" customWidth="1"/>
    <col min="10758" max="10758" width="0.5" style="47" customWidth="1"/>
    <col min="10759" max="10759" width="8.625" style="47" customWidth="1"/>
    <col min="10760" max="10760" width="4.25" style="47" customWidth="1"/>
    <col min="10761" max="10761" width="4.625" style="47" customWidth="1"/>
    <col min="10762" max="10762" width="4.25" style="47" customWidth="1"/>
    <col min="10763" max="10763" width="4.875" style="47" customWidth="1"/>
    <col min="10764" max="10764" width="3.375" style="47" customWidth="1"/>
    <col min="10765" max="10765" width="6" style="47" customWidth="1"/>
    <col min="10766" max="10766" width="3.375" style="47" customWidth="1"/>
    <col min="10767" max="10767" width="6" style="47" customWidth="1"/>
    <col min="10768" max="10768" width="4.875" style="47" customWidth="1"/>
    <col min="10769" max="10769" width="4.75" style="47" customWidth="1"/>
    <col min="10770" max="10770" width="9" style="47"/>
    <col min="10771" max="10771" width="0.875" style="47" customWidth="1"/>
    <col min="10772" max="10781" width="0" style="47" hidden="1" customWidth="1"/>
    <col min="10782" max="11008" width="9" style="47"/>
    <col min="11009" max="11009" width="1.25" style="47" customWidth="1"/>
    <col min="11010" max="11010" width="9.125" style="47" customWidth="1"/>
    <col min="11011" max="11011" width="2.25" style="47" customWidth="1"/>
    <col min="11012" max="11013" width="9.5" style="47" customWidth="1"/>
    <col min="11014" max="11014" width="0.5" style="47" customWidth="1"/>
    <col min="11015" max="11015" width="8.625" style="47" customWidth="1"/>
    <col min="11016" max="11016" width="4.25" style="47" customWidth="1"/>
    <col min="11017" max="11017" width="4.625" style="47" customWidth="1"/>
    <col min="11018" max="11018" width="4.25" style="47" customWidth="1"/>
    <col min="11019" max="11019" width="4.875" style="47" customWidth="1"/>
    <col min="11020" max="11020" width="3.375" style="47" customWidth="1"/>
    <col min="11021" max="11021" width="6" style="47" customWidth="1"/>
    <col min="11022" max="11022" width="3.375" style="47" customWidth="1"/>
    <col min="11023" max="11023" width="6" style="47" customWidth="1"/>
    <col min="11024" max="11024" width="4.875" style="47" customWidth="1"/>
    <col min="11025" max="11025" width="4.75" style="47" customWidth="1"/>
    <col min="11026" max="11026" width="9" style="47"/>
    <col min="11027" max="11027" width="0.875" style="47" customWidth="1"/>
    <col min="11028" max="11037" width="0" style="47" hidden="1" customWidth="1"/>
    <col min="11038" max="11264" width="9" style="47"/>
    <col min="11265" max="11265" width="1.25" style="47" customWidth="1"/>
    <col min="11266" max="11266" width="9.125" style="47" customWidth="1"/>
    <col min="11267" max="11267" width="2.25" style="47" customWidth="1"/>
    <col min="11268" max="11269" width="9.5" style="47" customWidth="1"/>
    <col min="11270" max="11270" width="0.5" style="47" customWidth="1"/>
    <col min="11271" max="11271" width="8.625" style="47" customWidth="1"/>
    <col min="11272" max="11272" width="4.25" style="47" customWidth="1"/>
    <col min="11273" max="11273" width="4.625" style="47" customWidth="1"/>
    <col min="11274" max="11274" width="4.25" style="47" customWidth="1"/>
    <col min="11275" max="11275" width="4.875" style="47" customWidth="1"/>
    <col min="11276" max="11276" width="3.375" style="47" customWidth="1"/>
    <col min="11277" max="11277" width="6" style="47" customWidth="1"/>
    <col min="11278" max="11278" width="3.375" style="47" customWidth="1"/>
    <col min="11279" max="11279" width="6" style="47" customWidth="1"/>
    <col min="11280" max="11280" width="4.875" style="47" customWidth="1"/>
    <col min="11281" max="11281" width="4.75" style="47" customWidth="1"/>
    <col min="11282" max="11282" width="9" style="47"/>
    <col min="11283" max="11283" width="0.875" style="47" customWidth="1"/>
    <col min="11284" max="11293" width="0" style="47" hidden="1" customWidth="1"/>
    <col min="11294" max="11520" width="9" style="47"/>
    <col min="11521" max="11521" width="1.25" style="47" customWidth="1"/>
    <col min="11522" max="11522" width="9.125" style="47" customWidth="1"/>
    <col min="11523" max="11523" width="2.25" style="47" customWidth="1"/>
    <col min="11524" max="11525" width="9.5" style="47" customWidth="1"/>
    <col min="11526" max="11526" width="0.5" style="47" customWidth="1"/>
    <col min="11527" max="11527" width="8.625" style="47" customWidth="1"/>
    <col min="11528" max="11528" width="4.25" style="47" customWidth="1"/>
    <col min="11529" max="11529" width="4.625" style="47" customWidth="1"/>
    <col min="11530" max="11530" width="4.25" style="47" customWidth="1"/>
    <col min="11531" max="11531" width="4.875" style="47" customWidth="1"/>
    <col min="11532" max="11532" width="3.375" style="47" customWidth="1"/>
    <col min="11533" max="11533" width="6" style="47" customWidth="1"/>
    <col min="11534" max="11534" width="3.375" style="47" customWidth="1"/>
    <col min="11535" max="11535" width="6" style="47" customWidth="1"/>
    <col min="11536" max="11536" width="4.875" style="47" customWidth="1"/>
    <col min="11537" max="11537" width="4.75" style="47" customWidth="1"/>
    <col min="11538" max="11538" width="9" style="47"/>
    <col min="11539" max="11539" width="0.875" style="47" customWidth="1"/>
    <col min="11540" max="11549" width="0" style="47" hidden="1" customWidth="1"/>
    <col min="11550" max="11776" width="9" style="47"/>
    <col min="11777" max="11777" width="1.25" style="47" customWidth="1"/>
    <col min="11778" max="11778" width="9.125" style="47" customWidth="1"/>
    <col min="11779" max="11779" width="2.25" style="47" customWidth="1"/>
    <col min="11780" max="11781" width="9.5" style="47" customWidth="1"/>
    <col min="11782" max="11782" width="0.5" style="47" customWidth="1"/>
    <col min="11783" max="11783" width="8.625" style="47" customWidth="1"/>
    <col min="11784" max="11784" width="4.25" style="47" customWidth="1"/>
    <col min="11785" max="11785" width="4.625" style="47" customWidth="1"/>
    <col min="11786" max="11786" width="4.25" style="47" customWidth="1"/>
    <col min="11787" max="11787" width="4.875" style="47" customWidth="1"/>
    <col min="11788" max="11788" width="3.375" style="47" customWidth="1"/>
    <col min="11789" max="11789" width="6" style="47" customWidth="1"/>
    <col min="11790" max="11790" width="3.375" style="47" customWidth="1"/>
    <col min="11791" max="11791" width="6" style="47" customWidth="1"/>
    <col min="11792" max="11792" width="4.875" style="47" customWidth="1"/>
    <col min="11793" max="11793" width="4.75" style="47" customWidth="1"/>
    <col min="11794" max="11794" width="9" style="47"/>
    <col min="11795" max="11795" width="0.875" style="47" customWidth="1"/>
    <col min="11796" max="11805" width="0" style="47" hidden="1" customWidth="1"/>
    <col min="11806" max="12032" width="9" style="47"/>
    <col min="12033" max="12033" width="1.25" style="47" customWidth="1"/>
    <col min="12034" max="12034" width="9.125" style="47" customWidth="1"/>
    <col min="12035" max="12035" width="2.25" style="47" customWidth="1"/>
    <col min="12036" max="12037" width="9.5" style="47" customWidth="1"/>
    <col min="12038" max="12038" width="0.5" style="47" customWidth="1"/>
    <col min="12039" max="12039" width="8.625" style="47" customWidth="1"/>
    <col min="12040" max="12040" width="4.25" style="47" customWidth="1"/>
    <col min="12041" max="12041" width="4.625" style="47" customWidth="1"/>
    <col min="12042" max="12042" width="4.25" style="47" customWidth="1"/>
    <col min="12043" max="12043" width="4.875" style="47" customWidth="1"/>
    <col min="12044" max="12044" width="3.375" style="47" customWidth="1"/>
    <col min="12045" max="12045" width="6" style="47" customWidth="1"/>
    <col min="12046" max="12046" width="3.375" style="47" customWidth="1"/>
    <col min="12047" max="12047" width="6" style="47" customWidth="1"/>
    <col min="12048" max="12048" width="4.875" style="47" customWidth="1"/>
    <col min="12049" max="12049" width="4.75" style="47" customWidth="1"/>
    <col min="12050" max="12050" width="9" style="47"/>
    <col min="12051" max="12051" width="0.875" style="47" customWidth="1"/>
    <col min="12052" max="12061" width="0" style="47" hidden="1" customWidth="1"/>
    <col min="12062" max="12288" width="9" style="47"/>
    <col min="12289" max="12289" width="1.25" style="47" customWidth="1"/>
    <col min="12290" max="12290" width="9.125" style="47" customWidth="1"/>
    <col min="12291" max="12291" width="2.25" style="47" customWidth="1"/>
    <col min="12292" max="12293" width="9.5" style="47" customWidth="1"/>
    <col min="12294" max="12294" width="0.5" style="47" customWidth="1"/>
    <col min="12295" max="12295" width="8.625" style="47" customWidth="1"/>
    <col min="12296" max="12296" width="4.25" style="47" customWidth="1"/>
    <col min="12297" max="12297" width="4.625" style="47" customWidth="1"/>
    <col min="12298" max="12298" width="4.25" style="47" customWidth="1"/>
    <col min="12299" max="12299" width="4.875" style="47" customWidth="1"/>
    <col min="12300" max="12300" width="3.375" style="47" customWidth="1"/>
    <col min="12301" max="12301" width="6" style="47" customWidth="1"/>
    <col min="12302" max="12302" width="3.375" style="47" customWidth="1"/>
    <col min="12303" max="12303" width="6" style="47" customWidth="1"/>
    <col min="12304" max="12304" width="4.875" style="47" customWidth="1"/>
    <col min="12305" max="12305" width="4.75" style="47" customWidth="1"/>
    <col min="12306" max="12306" width="9" style="47"/>
    <col min="12307" max="12307" width="0.875" style="47" customWidth="1"/>
    <col min="12308" max="12317" width="0" style="47" hidden="1" customWidth="1"/>
    <col min="12318" max="12544" width="9" style="47"/>
    <col min="12545" max="12545" width="1.25" style="47" customWidth="1"/>
    <col min="12546" max="12546" width="9.125" style="47" customWidth="1"/>
    <col min="12547" max="12547" width="2.25" style="47" customWidth="1"/>
    <col min="12548" max="12549" width="9.5" style="47" customWidth="1"/>
    <col min="12550" max="12550" width="0.5" style="47" customWidth="1"/>
    <col min="12551" max="12551" width="8.625" style="47" customWidth="1"/>
    <col min="12552" max="12552" width="4.25" style="47" customWidth="1"/>
    <col min="12553" max="12553" width="4.625" style="47" customWidth="1"/>
    <col min="12554" max="12554" width="4.25" style="47" customWidth="1"/>
    <col min="12555" max="12555" width="4.875" style="47" customWidth="1"/>
    <col min="12556" max="12556" width="3.375" style="47" customWidth="1"/>
    <col min="12557" max="12557" width="6" style="47" customWidth="1"/>
    <col min="12558" max="12558" width="3.375" style="47" customWidth="1"/>
    <col min="12559" max="12559" width="6" style="47" customWidth="1"/>
    <col min="12560" max="12560" width="4.875" style="47" customWidth="1"/>
    <col min="12561" max="12561" width="4.75" style="47" customWidth="1"/>
    <col min="12562" max="12562" width="9" style="47"/>
    <col min="12563" max="12563" width="0.875" style="47" customWidth="1"/>
    <col min="12564" max="12573" width="0" style="47" hidden="1" customWidth="1"/>
    <col min="12574" max="12800" width="9" style="47"/>
    <col min="12801" max="12801" width="1.25" style="47" customWidth="1"/>
    <col min="12802" max="12802" width="9.125" style="47" customWidth="1"/>
    <col min="12803" max="12803" width="2.25" style="47" customWidth="1"/>
    <col min="12804" max="12805" width="9.5" style="47" customWidth="1"/>
    <col min="12806" max="12806" width="0.5" style="47" customWidth="1"/>
    <col min="12807" max="12807" width="8.625" style="47" customWidth="1"/>
    <col min="12808" max="12808" width="4.25" style="47" customWidth="1"/>
    <col min="12809" max="12809" width="4.625" style="47" customWidth="1"/>
    <col min="12810" max="12810" width="4.25" style="47" customWidth="1"/>
    <col min="12811" max="12811" width="4.875" style="47" customWidth="1"/>
    <col min="12812" max="12812" width="3.375" style="47" customWidth="1"/>
    <col min="12813" max="12813" width="6" style="47" customWidth="1"/>
    <col min="12814" max="12814" width="3.375" style="47" customWidth="1"/>
    <col min="12815" max="12815" width="6" style="47" customWidth="1"/>
    <col min="12816" max="12816" width="4.875" style="47" customWidth="1"/>
    <col min="12817" max="12817" width="4.75" style="47" customWidth="1"/>
    <col min="12818" max="12818" width="9" style="47"/>
    <col min="12819" max="12819" width="0.875" style="47" customWidth="1"/>
    <col min="12820" max="12829" width="0" style="47" hidden="1" customWidth="1"/>
    <col min="12830" max="13056" width="9" style="47"/>
    <col min="13057" max="13057" width="1.25" style="47" customWidth="1"/>
    <col min="13058" max="13058" width="9.125" style="47" customWidth="1"/>
    <col min="13059" max="13059" width="2.25" style="47" customWidth="1"/>
    <col min="13060" max="13061" width="9.5" style="47" customWidth="1"/>
    <col min="13062" max="13062" width="0.5" style="47" customWidth="1"/>
    <col min="13063" max="13063" width="8.625" style="47" customWidth="1"/>
    <col min="13064" max="13064" width="4.25" style="47" customWidth="1"/>
    <col min="13065" max="13065" width="4.625" style="47" customWidth="1"/>
    <col min="13066" max="13066" width="4.25" style="47" customWidth="1"/>
    <col min="13067" max="13067" width="4.875" style="47" customWidth="1"/>
    <col min="13068" max="13068" width="3.375" style="47" customWidth="1"/>
    <col min="13069" max="13069" width="6" style="47" customWidth="1"/>
    <col min="13070" max="13070" width="3.375" style="47" customWidth="1"/>
    <col min="13071" max="13071" width="6" style="47" customWidth="1"/>
    <col min="13072" max="13072" width="4.875" style="47" customWidth="1"/>
    <col min="13073" max="13073" width="4.75" style="47" customWidth="1"/>
    <col min="13074" max="13074" width="9" style="47"/>
    <col min="13075" max="13075" width="0.875" style="47" customWidth="1"/>
    <col min="13076" max="13085" width="0" style="47" hidden="1" customWidth="1"/>
    <col min="13086" max="13312" width="9" style="47"/>
    <col min="13313" max="13313" width="1.25" style="47" customWidth="1"/>
    <col min="13314" max="13314" width="9.125" style="47" customWidth="1"/>
    <col min="13315" max="13315" width="2.25" style="47" customWidth="1"/>
    <col min="13316" max="13317" width="9.5" style="47" customWidth="1"/>
    <col min="13318" max="13318" width="0.5" style="47" customWidth="1"/>
    <col min="13319" max="13319" width="8.625" style="47" customWidth="1"/>
    <col min="13320" max="13320" width="4.25" style="47" customWidth="1"/>
    <col min="13321" max="13321" width="4.625" style="47" customWidth="1"/>
    <col min="13322" max="13322" width="4.25" style="47" customWidth="1"/>
    <col min="13323" max="13323" width="4.875" style="47" customWidth="1"/>
    <col min="13324" max="13324" width="3.375" style="47" customWidth="1"/>
    <col min="13325" max="13325" width="6" style="47" customWidth="1"/>
    <col min="13326" max="13326" width="3.375" style="47" customWidth="1"/>
    <col min="13327" max="13327" width="6" style="47" customWidth="1"/>
    <col min="13328" max="13328" width="4.875" style="47" customWidth="1"/>
    <col min="13329" max="13329" width="4.75" style="47" customWidth="1"/>
    <col min="13330" max="13330" width="9" style="47"/>
    <col min="13331" max="13331" width="0.875" style="47" customWidth="1"/>
    <col min="13332" max="13341" width="0" style="47" hidden="1" customWidth="1"/>
    <col min="13342" max="13568" width="9" style="47"/>
    <col min="13569" max="13569" width="1.25" style="47" customWidth="1"/>
    <col min="13570" max="13570" width="9.125" style="47" customWidth="1"/>
    <col min="13571" max="13571" width="2.25" style="47" customWidth="1"/>
    <col min="13572" max="13573" width="9.5" style="47" customWidth="1"/>
    <col min="13574" max="13574" width="0.5" style="47" customWidth="1"/>
    <col min="13575" max="13575" width="8.625" style="47" customWidth="1"/>
    <col min="13576" max="13576" width="4.25" style="47" customWidth="1"/>
    <col min="13577" max="13577" width="4.625" style="47" customWidth="1"/>
    <col min="13578" max="13578" width="4.25" style="47" customWidth="1"/>
    <col min="13579" max="13579" width="4.875" style="47" customWidth="1"/>
    <col min="13580" max="13580" width="3.375" style="47" customWidth="1"/>
    <col min="13581" max="13581" width="6" style="47" customWidth="1"/>
    <col min="13582" max="13582" width="3.375" style="47" customWidth="1"/>
    <col min="13583" max="13583" width="6" style="47" customWidth="1"/>
    <col min="13584" max="13584" width="4.875" style="47" customWidth="1"/>
    <col min="13585" max="13585" width="4.75" style="47" customWidth="1"/>
    <col min="13586" max="13586" width="9" style="47"/>
    <col min="13587" max="13587" width="0.875" style="47" customWidth="1"/>
    <col min="13588" max="13597" width="0" style="47" hidden="1" customWidth="1"/>
    <col min="13598" max="13824" width="9" style="47"/>
    <col min="13825" max="13825" width="1.25" style="47" customWidth="1"/>
    <col min="13826" max="13826" width="9.125" style="47" customWidth="1"/>
    <col min="13827" max="13827" width="2.25" style="47" customWidth="1"/>
    <col min="13828" max="13829" width="9.5" style="47" customWidth="1"/>
    <col min="13830" max="13830" width="0.5" style="47" customWidth="1"/>
    <col min="13831" max="13831" width="8.625" style="47" customWidth="1"/>
    <col min="13832" max="13832" width="4.25" style="47" customWidth="1"/>
    <col min="13833" max="13833" width="4.625" style="47" customWidth="1"/>
    <col min="13834" max="13834" width="4.25" style="47" customWidth="1"/>
    <col min="13835" max="13835" width="4.875" style="47" customWidth="1"/>
    <col min="13836" max="13836" width="3.375" style="47" customWidth="1"/>
    <col min="13837" max="13837" width="6" style="47" customWidth="1"/>
    <col min="13838" max="13838" width="3.375" style="47" customWidth="1"/>
    <col min="13839" max="13839" width="6" style="47" customWidth="1"/>
    <col min="13840" max="13840" width="4.875" style="47" customWidth="1"/>
    <col min="13841" max="13841" width="4.75" style="47" customWidth="1"/>
    <col min="13842" max="13842" width="9" style="47"/>
    <col min="13843" max="13843" width="0.875" style="47" customWidth="1"/>
    <col min="13844" max="13853" width="0" style="47" hidden="1" customWidth="1"/>
    <col min="13854" max="14080" width="9" style="47"/>
    <col min="14081" max="14081" width="1.25" style="47" customWidth="1"/>
    <col min="14082" max="14082" width="9.125" style="47" customWidth="1"/>
    <col min="14083" max="14083" width="2.25" style="47" customWidth="1"/>
    <col min="14084" max="14085" width="9.5" style="47" customWidth="1"/>
    <col min="14086" max="14086" width="0.5" style="47" customWidth="1"/>
    <col min="14087" max="14087" width="8.625" style="47" customWidth="1"/>
    <col min="14088" max="14088" width="4.25" style="47" customWidth="1"/>
    <col min="14089" max="14089" width="4.625" style="47" customWidth="1"/>
    <col min="14090" max="14090" width="4.25" style="47" customWidth="1"/>
    <col min="14091" max="14091" width="4.875" style="47" customWidth="1"/>
    <col min="14092" max="14092" width="3.375" style="47" customWidth="1"/>
    <col min="14093" max="14093" width="6" style="47" customWidth="1"/>
    <col min="14094" max="14094" width="3.375" style="47" customWidth="1"/>
    <col min="14095" max="14095" width="6" style="47" customWidth="1"/>
    <col min="14096" max="14096" width="4.875" style="47" customWidth="1"/>
    <col min="14097" max="14097" width="4.75" style="47" customWidth="1"/>
    <col min="14098" max="14098" width="9" style="47"/>
    <col min="14099" max="14099" width="0.875" style="47" customWidth="1"/>
    <col min="14100" max="14109" width="0" style="47" hidden="1" customWidth="1"/>
    <col min="14110" max="14336" width="9" style="47"/>
    <col min="14337" max="14337" width="1.25" style="47" customWidth="1"/>
    <col min="14338" max="14338" width="9.125" style="47" customWidth="1"/>
    <col min="14339" max="14339" width="2.25" style="47" customWidth="1"/>
    <col min="14340" max="14341" width="9.5" style="47" customWidth="1"/>
    <col min="14342" max="14342" width="0.5" style="47" customWidth="1"/>
    <col min="14343" max="14343" width="8.625" style="47" customWidth="1"/>
    <col min="14344" max="14344" width="4.25" style="47" customWidth="1"/>
    <col min="14345" max="14345" width="4.625" style="47" customWidth="1"/>
    <col min="14346" max="14346" width="4.25" style="47" customWidth="1"/>
    <col min="14347" max="14347" width="4.875" style="47" customWidth="1"/>
    <col min="14348" max="14348" width="3.375" style="47" customWidth="1"/>
    <col min="14349" max="14349" width="6" style="47" customWidth="1"/>
    <col min="14350" max="14350" width="3.375" style="47" customWidth="1"/>
    <col min="14351" max="14351" width="6" style="47" customWidth="1"/>
    <col min="14352" max="14352" width="4.875" style="47" customWidth="1"/>
    <col min="14353" max="14353" width="4.75" style="47" customWidth="1"/>
    <col min="14354" max="14354" width="9" style="47"/>
    <col min="14355" max="14355" width="0.875" style="47" customWidth="1"/>
    <col min="14356" max="14365" width="0" style="47" hidden="1" customWidth="1"/>
    <col min="14366" max="14592" width="9" style="47"/>
    <col min="14593" max="14593" width="1.25" style="47" customWidth="1"/>
    <col min="14594" max="14594" width="9.125" style="47" customWidth="1"/>
    <col min="14595" max="14595" width="2.25" style="47" customWidth="1"/>
    <col min="14596" max="14597" width="9.5" style="47" customWidth="1"/>
    <col min="14598" max="14598" width="0.5" style="47" customWidth="1"/>
    <col min="14599" max="14599" width="8.625" style="47" customWidth="1"/>
    <col min="14600" max="14600" width="4.25" style="47" customWidth="1"/>
    <col min="14601" max="14601" width="4.625" style="47" customWidth="1"/>
    <col min="14602" max="14602" width="4.25" style="47" customWidth="1"/>
    <col min="14603" max="14603" width="4.875" style="47" customWidth="1"/>
    <col min="14604" max="14604" width="3.375" style="47" customWidth="1"/>
    <col min="14605" max="14605" width="6" style="47" customWidth="1"/>
    <col min="14606" max="14606" width="3.375" style="47" customWidth="1"/>
    <col min="14607" max="14607" width="6" style="47" customWidth="1"/>
    <col min="14608" max="14608" width="4.875" style="47" customWidth="1"/>
    <col min="14609" max="14609" width="4.75" style="47" customWidth="1"/>
    <col min="14610" max="14610" width="9" style="47"/>
    <col min="14611" max="14611" width="0.875" style="47" customWidth="1"/>
    <col min="14612" max="14621" width="0" style="47" hidden="1" customWidth="1"/>
    <col min="14622" max="14848" width="9" style="47"/>
    <col min="14849" max="14849" width="1.25" style="47" customWidth="1"/>
    <col min="14850" max="14850" width="9.125" style="47" customWidth="1"/>
    <col min="14851" max="14851" width="2.25" style="47" customWidth="1"/>
    <col min="14852" max="14853" width="9.5" style="47" customWidth="1"/>
    <col min="14854" max="14854" width="0.5" style="47" customWidth="1"/>
    <col min="14855" max="14855" width="8.625" style="47" customWidth="1"/>
    <col min="14856" max="14856" width="4.25" style="47" customWidth="1"/>
    <col min="14857" max="14857" width="4.625" style="47" customWidth="1"/>
    <col min="14858" max="14858" width="4.25" style="47" customWidth="1"/>
    <col min="14859" max="14859" width="4.875" style="47" customWidth="1"/>
    <col min="14860" max="14860" width="3.375" style="47" customWidth="1"/>
    <col min="14861" max="14861" width="6" style="47" customWidth="1"/>
    <col min="14862" max="14862" width="3.375" style="47" customWidth="1"/>
    <col min="14863" max="14863" width="6" style="47" customWidth="1"/>
    <col min="14864" max="14864" width="4.875" style="47" customWidth="1"/>
    <col min="14865" max="14865" width="4.75" style="47" customWidth="1"/>
    <col min="14866" max="14866" width="9" style="47"/>
    <col min="14867" max="14867" width="0.875" style="47" customWidth="1"/>
    <col min="14868" max="14877" width="0" style="47" hidden="1" customWidth="1"/>
    <col min="14878" max="15104" width="9" style="47"/>
    <col min="15105" max="15105" width="1.25" style="47" customWidth="1"/>
    <col min="15106" max="15106" width="9.125" style="47" customWidth="1"/>
    <col min="15107" max="15107" width="2.25" style="47" customWidth="1"/>
    <col min="15108" max="15109" width="9.5" style="47" customWidth="1"/>
    <col min="15110" max="15110" width="0.5" style="47" customWidth="1"/>
    <col min="15111" max="15111" width="8.625" style="47" customWidth="1"/>
    <col min="15112" max="15112" width="4.25" style="47" customWidth="1"/>
    <col min="15113" max="15113" width="4.625" style="47" customWidth="1"/>
    <col min="15114" max="15114" width="4.25" style="47" customWidth="1"/>
    <col min="15115" max="15115" width="4.875" style="47" customWidth="1"/>
    <col min="15116" max="15116" width="3.375" style="47" customWidth="1"/>
    <col min="15117" max="15117" width="6" style="47" customWidth="1"/>
    <col min="15118" max="15118" width="3.375" style="47" customWidth="1"/>
    <col min="15119" max="15119" width="6" style="47" customWidth="1"/>
    <col min="15120" max="15120" width="4.875" style="47" customWidth="1"/>
    <col min="15121" max="15121" width="4.75" style="47" customWidth="1"/>
    <col min="15122" max="15122" width="9" style="47"/>
    <col min="15123" max="15123" width="0.875" style="47" customWidth="1"/>
    <col min="15124" max="15133" width="0" style="47" hidden="1" customWidth="1"/>
    <col min="15134" max="15360" width="9" style="47"/>
    <col min="15361" max="15361" width="1.25" style="47" customWidth="1"/>
    <col min="15362" max="15362" width="9.125" style="47" customWidth="1"/>
    <col min="15363" max="15363" width="2.25" style="47" customWidth="1"/>
    <col min="15364" max="15365" width="9.5" style="47" customWidth="1"/>
    <col min="15366" max="15366" width="0.5" style="47" customWidth="1"/>
    <col min="15367" max="15367" width="8.625" style="47" customWidth="1"/>
    <col min="15368" max="15368" width="4.25" style="47" customWidth="1"/>
    <col min="15369" max="15369" width="4.625" style="47" customWidth="1"/>
    <col min="15370" max="15370" width="4.25" style="47" customWidth="1"/>
    <col min="15371" max="15371" width="4.875" style="47" customWidth="1"/>
    <col min="15372" max="15372" width="3.375" style="47" customWidth="1"/>
    <col min="15373" max="15373" width="6" style="47" customWidth="1"/>
    <col min="15374" max="15374" width="3.375" style="47" customWidth="1"/>
    <col min="15375" max="15375" width="6" style="47" customWidth="1"/>
    <col min="15376" max="15376" width="4.875" style="47" customWidth="1"/>
    <col min="15377" max="15377" width="4.75" style="47" customWidth="1"/>
    <col min="15378" max="15378" width="9" style="47"/>
    <col min="15379" max="15379" width="0.875" style="47" customWidth="1"/>
    <col min="15380" max="15389" width="0" style="47" hidden="1" customWidth="1"/>
    <col min="15390" max="15616" width="9" style="47"/>
    <col min="15617" max="15617" width="1.25" style="47" customWidth="1"/>
    <col min="15618" max="15618" width="9.125" style="47" customWidth="1"/>
    <col min="15619" max="15619" width="2.25" style="47" customWidth="1"/>
    <col min="15620" max="15621" width="9.5" style="47" customWidth="1"/>
    <col min="15622" max="15622" width="0.5" style="47" customWidth="1"/>
    <col min="15623" max="15623" width="8.625" style="47" customWidth="1"/>
    <col min="15624" max="15624" width="4.25" style="47" customWidth="1"/>
    <col min="15625" max="15625" width="4.625" style="47" customWidth="1"/>
    <col min="15626" max="15626" width="4.25" style="47" customWidth="1"/>
    <col min="15627" max="15627" width="4.875" style="47" customWidth="1"/>
    <col min="15628" max="15628" width="3.375" style="47" customWidth="1"/>
    <col min="15629" max="15629" width="6" style="47" customWidth="1"/>
    <col min="15630" max="15630" width="3.375" style="47" customWidth="1"/>
    <col min="15631" max="15631" width="6" style="47" customWidth="1"/>
    <col min="15632" max="15632" width="4.875" style="47" customWidth="1"/>
    <col min="15633" max="15633" width="4.75" style="47" customWidth="1"/>
    <col min="15634" max="15634" width="9" style="47"/>
    <col min="15635" max="15635" width="0.875" style="47" customWidth="1"/>
    <col min="15636" max="15645" width="0" style="47" hidden="1" customWidth="1"/>
    <col min="15646" max="15872" width="9" style="47"/>
    <col min="15873" max="15873" width="1.25" style="47" customWidth="1"/>
    <col min="15874" max="15874" width="9.125" style="47" customWidth="1"/>
    <col min="15875" max="15875" width="2.25" style="47" customWidth="1"/>
    <col min="15876" max="15877" width="9.5" style="47" customWidth="1"/>
    <col min="15878" max="15878" width="0.5" style="47" customWidth="1"/>
    <col min="15879" max="15879" width="8.625" style="47" customWidth="1"/>
    <col min="15880" max="15880" width="4.25" style="47" customWidth="1"/>
    <col min="15881" max="15881" width="4.625" style="47" customWidth="1"/>
    <col min="15882" max="15882" width="4.25" style="47" customWidth="1"/>
    <col min="15883" max="15883" width="4.875" style="47" customWidth="1"/>
    <col min="15884" max="15884" width="3.375" style="47" customWidth="1"/>
    <col min="15885" max="15885" width="6" style="47" customWidth="1"/>
    <col min="15886" max="15886" width="3.375" style="47" customWidth="1"/>
    <col min="15887" max="15887" width="6" style="47" customWidth="1"/>
    <col min="15888" max="15888" width="4.875" style="47" customWidth="1"/>
    <col min="15889" max="15889" width="4.75" style="47" customWidth="1"/>
    <col min="15890" max="15890" width="9" style="47"/>
    <col min="15891" max="15891" width="0.875" style="47" customWidth="1"/>
    <col min="15892" max="15901" width="0" style="47" hidden="1" customWidth="1"/>
    <col min="15902" max="16128" width="9" style="47"/>
    <col min="16129" max="16129" width="1.25" style="47" customWidth="1"/>
    <col min="16130" max="16130" width="9.125" style="47" customWidth="1"/>
    <col min="16131" max="16131" width="2.25" style="47" customWidth="1"/>
    <col min="16132" max="16133" width="9.5" style="47" customWidth="1"/>
    <col min="16134" max="16134" width="0.5" style="47" customWidth="1"/>
    <col min="16135" max="16135" width="8.625" style="47" customWidth="1"/>
    <col min="16136" max="16136" width="4.25" style="47" customWidth="1"/>
    <col min="16137" max="16137" width="4.625" style="47" customWidth="1"/>
    <col min="16138" max="16138" width="4.25" style="47" customWidth="1"/>
    <col min="16139" max="16139" width="4.875" style="47" customWidth="1"/>
    <col min="16140" max="16140" width="3.375" style="47" customWidth="1"/>
    <col min="16141" max="16141" width="6" style="47" customWidth="1"/>
    <col min="16142" max="16142" width="3.375" style="47" customWidth="1"/>
    <col min="16143" max="16143" width="6" style="47" customWidth="1"/>
    <col min="16144" max="16144" width="4.875" style="47" customWidth="1"/>
    <col min="16145" max="16145" width="4.75" style="47" customWidth="1"/>
    <col min="16146" max="16146" width="9" style="47"/>
    <col min="16147" max="16147" width="0.875" style="47" customWidth="1"/>
    <col min="16148" max="16157" width="0" style="47" hidden="1" customWidth="1"/>
    <col min="16158" max="16384" width="9" style="47"/>
  </cols>
  <sheetData>
    <row r="1" spans="2:29" s="2" customFormat="1" ht="30" customHeight="1" thickBot="1">
      <c r="B1" s="80" t="s">
        <v>2</v>
      </c>
      <c r="C1" s="81"/>
      <c r="D1" s="81"/>
      <c r="E1" s="81"/>
      <c r="F1" s="25"/>
      <c r="G1" s="82" t="s">
        <v>148</v>
      </c>
      <c r="H1" s="83"/>
      <c r="I1" s="1">
        <v>24</v>
      </c>
      <c r="J1" s="1" t="s">
        <v>3</v>
      </c>
      <c r="K1" s="1">
        <v>3</v>
      </c>
      <c r="L1" s="1" t="s">
        <v>4</v>
      </c>
      <c r="M1" s="1">
        <v>15</v>
      </c>
      <c r="N1" s="1" t="s">
        <v>5</v>
      </c>
      <c r="O1" s="84" t="s">
        <v>6</v>
      </c>
      <c r="P1" s="85"/>
      <c r="Q1" s="86" t="s">
        <v>149</v>
      </c>
      <c r="R1" s="85"/>
      <c r="S1" s="26"/>
    </row>
    <row r="2" spans="2:29" s="2" customFormat="1" ht="5.25" customHeight="1" thickTop="1">
      <c r="B2" s="27"/>
      <c r="C2" s="27"/>
      <c r="D2" s="27"/>
      <c r="E2" s="27"/>
    </row>
    <row r="3" spans="2:29" s="4" customFormat="1" ht="18" customHeight="1">
      <c r="B3" s="3" t="s">
        <v>7</v>
      </c>
      <c r="C3" s="87" t="s">
        <v>155</v>
      </c>
      <c r="D3" s="88"/>
      <c r="E3" s="89"/>
      <c r="F3" s="90" t="s">
        <v>8</v>
      </c>
      <c r="G3" s="91"/>
      <c r="H3" s="87">
        <v>832807</v>
      </c>
      <c r="I3" s="88"/>
      <c r="J3" s="88"/>
      <c r="K3" s="89"/>
      <c r="L3" s="92" t="s">
        <v>9</v>
      </c>
      <c r="M3" s="93"/>
      <c r="N3" s="87" t="s">
        <v>150</v>
      </c>
      <c r="O3" s="88"/>
      <c r="P3" s="88"/>
      <c r="Q3" s="88"/>
      <c r="R3" s="89"/>
      <c r="T3" s="94" t="s">
        <v>10</v>
      </c>
      <c r="U3" s="95"/>
      <c r="V3" s="95"/>
      <c r="W3" s="95"/>
      <c r="X3" s="95"/>
      <c r="Y3" s="95"/>
      <c r="Z3" s="95"/>
      <c r="AA3" s="95"/>
      <c r="AB3" s="95"/>
      <c r="AC3" s="96"/>
    </row>
    <row r="4" spans="2:29" s="2" customFormat="1" ht="17.25" customHeight="1">
      <c r="B4" s="97" t="s">
        <v>11</v>
      </c>
      <c r="C4" s="97"/>
      <c r="D4" s="98"/>
      <c r="E4" s="99"/>
      <c r="F4" s="5"/>
      <c r="G4" s="100" t="s">
        <v>63</v>
      </c>
      <c r="H4" s="101"/>
      <c r="I4" s="98" t="s">
        <v>156</v>
      </c>
      <c r="J4" s="102"/>
      <c r="K4" s="102"/>
      <c r="L4" s="102"/>
      <c r="M4" s="102"/>
      <c r="N4" s="102"/>
      <c r="O4" s="102"/>
      <c r="P4" s="102"/>
      <c r="Q4" s="102"/>
      <c r="R4" s="103"/>
      <c r="T4" s="6" t="s">
        <v>12</v>
      </c>
      <c r="U4" s="7" t="s">
        <v>13</v>
      </c>
      <c r="V4" s="8"/>
      <c r="W4" s="9" t="s">
        <v>14</v>
      </c>
      <c r="X4" s="10" t="s">
        <v>15</v>
      </c>
      <c r="Y4" s="8"/>
      <c r="Z4" s="11" t="s">
        <v>16</v>
      </c>
      <c r="AA4" s="12" t="s">
        <v>17</v>
      </c>
      <c r="AB4" s="8"/>
      <c r="AC4" s="11" t="s">
        <v>18</v>
      </c>
    </row>
    <row r="5" spans="2:29" s="5" customFormat="1" ht="17.25" customHeight="1">
      <c r="B5" s="104" t="s">
        <v>19</v>
      </c>
      <c r="C5" s="104"/>
      <c r="D5" s="105">
        <v>5000</v>
      </c>
      <c r="E5" s="106"/>
      <c r="G5" s="100" t="s">
        <v>64</v>
      </c>
      <c r="H5" s="101"/>
      <c r="I5" s="98" t="s">
        <v>154</v>
      </c>
      <c r="J5" s="102"/>
      <c r="K5" s="102"/>
      <c r="L5" s="102"/>
      <c r="M5" s="102"/>
      <c r="N5" s="102"/>
      <c r="O5" s="102"/>
      <c r="P5" s="102"/>
      <c r="Q5" s="102"/>
      <c r="R5" s="103"/>
      <c r="S5" s="26" t="s">
        <v>20</v>
      </c>
      <c r="T5" s="10" t="s">
        <v>21</v>
      </c>
      <c r="U5" s="7" t="s">
        <v>13</v>
      </c>
      <c r="V5" s="8"/>
      <c r="W5" s="9" t="s">
        <v>14</v>
      </c>
      <c r="X5" s="10" t="s">
        <v>15</v>
      </c>
      <c r="Y5" s="8"/>
      <c r="Z5" s="11" t="s">
        <v>16</v>
      </c>
      <c r="AA5" s="12" t="s">
        <v>17</v>
      </c>
      <c r="AB5" s="8"/>
      <c r="AC5" s="11" t="s">
        <v>18</v>
      </c>
    </row>
    <row r="6" spans="2:29" s="5" customFormat="1" ht="17.25" customHeight="1">
      <c r="B6" s="97" t="s">
        <v>22</v>
      </c>
      <c r="C6" s="97"/>
      <c r="D6" s="107">
        <v>3000</v>
      </c>
      <c r="E6" s="106"/>
      <c r="G6" s="100" t="s">
        <v>23</v>
      </c>
      <c r="H6" s="101"/>
      <c r="I6" s="98" t="s">
        <v>151</v>
      </c>
      <c r="J6" s="108"/>
      <c r="K6" s="108"/>
      <c r="L6" s="108"/>
      <c r="M6" s="108"/>
      <c r="N6" s="108"/>
      <c r="O6" s="108"/>
      <c r="P6" s="108"/>
      <c r="Q6" s="108"/>
      <c r="R6" s="109"/>
      <c r="S6" s="26"/>
      <c r="T6" s="110"/>
      <c r="U6" s="111"/>
      <c r="V6" s="111"/>
      <c r="W6" s="111"/>
      <c r="X6" s="111"/>
      <c r="Y6" s="111"/>
      <c r="Z6" s="111"/>
      <c r="AA6" s="111"/>
      <c r="AB6" s="111"/>
      <c r="AC6" s="112"/>
    </row>
    <row r="7" spans="2:29" s="5" customFormat="1" ht="17.25" customHeight="1">
      <c r="B7" s="113" t="s">
        <v>24</v>
      </c>
      <c r="C7" s="104"/>
      <c r="D7" s="13">
        <v>45209</v>
      </c>
      <c r="E7" s="40" t="s">
        <v>77</v>
      </c>
      <c r="G7" s="100" t="s">
        <v>25</v>
      </c>
      <c r="H7" s="101"/>
      <c r="I7" s="98" t="s">
        <v>152</v>
      </c>
      <c r="J7" s="102"/>
      <c r="K7" s="102"/>
      <c r="L7" s="102"/>
      <c r="M7" s="102"/>
      <c r="N7" s="102"/>
      <c r="O7" s="102"/>
      <c r="P7" s="102"/>
      <c r="Q7" s="102"/>
      <c r="R7" s="103"/>
      <c r="S7" s="26"/>
      <c r="T7" s="114"/>
      <c r="U7" s="115"/>
      <c r="V7" s="115"/>
      <c r="W7" s="115"/>
      <c r="X7" s="115"/>
      <c r="Y7" s="115"/>
      <c r="Z7" s="115"/>
      <c r="AA7" s="115"/>
      <c r="AB7" s="115"/>
      <c r="AC7" s="116"/>
    </row>
    <row r="8" spans="2:29" s="5" customFormat="1" ht="17.25" customHeight="1">
      <c r="B8" s="117" t="s">
        <v>26</v>
      </c>
      <c r="C8" s="118"/>
      <c r="D8" s="98" t="s">
        <v>27</v>
      </c>
      <c r="E8" s="99"/>
      <c r="G8" s="100" t="s">
        <v>28</v>
      </c>
      <c r="H8" s="101"/>
      <c r="I8" s="98" t="s">
        <v>153</v>
      </c>
      <c r="J8" s="102"/>
      <c r="K8" s="102"/>
      <c r="L8" s="102"/>
      <c r="M8" s="102"/>
      <c r="N8" s="102"/>
      <c r="O8" s="102"/>
      <c r="P8" s="102"/>
      <c r="Q8" s="102"/>
      <c r="R8" s="103"/>
      <c r="S8" s="26"/>
      <c r="T8" s="114"/>
      <c r="U8" s="115"/>
      <c r="V8" s="115"/>
      <c r="W8" s="115"/>
      <c r="X8" s="115"/>
      <c r="Y8" s="115"/>
      <c r="Z8" s="115"/>
      <c r="AA8" s="115"/>
      <c r="AB8" s="115"/>
      <c r="AC8" s="116"/>
    </row>
    <row r="9" spans="2:29" s="5" customFormat="1" ht="17.25" customHeight="1">
      <c r="B9" s="100" t="s">
        <v>29</v>
      </c>
      <c r="C9" s="101"/>
      <c r="D9" s="119">
        <v>2980</v>
      </c>
      <c r="E9" s="120"/>
      <c r="G9" s="121" t="s">
        <v>65</v>
      </c>
      <c r="H9" s="122"/>
      <c r="I9" s="123" t="s">
        <v>78</v>
      </c>
      <c r="J9" s="124"/>
      <c r="K9" s="124"/>
      <c r="L9" s="124"/>
      <c r="M9" s="124"/>
      <c r="N9" s="124"/>
      <c r="O9" s="124"/>
      <c r="P9" s="124"/>
      <c r="Q9" s="124"/>
      <c r="R9" s="125"/>
      <c r="S9" s="26"/>
      <c r="T9" s="114"/>
      <c r="U9" s="115"/>
      <c r="V9" s="115"/>
      <c r="W9" s="115"/>
      <c r="X9" s="115"/>
      <c r="Y9" s="115"/>
      <c r="Z9" s="115"/>
      <c r="AA9" s="115"/>
      <c r="AB9" s="115"/>
      <c r="AC9" s="116"/>
    </row>
    <row r="10" spans="2:29" s="5" customFormat="1" ht="17.25" customHeight="1">
      <c r="B10" s="117" t="s">
        <v>1</v>
      </c>
      <c r="C10" s="126"/>
      <c r="D10" s="41">
        <v>1450</v>
      </c>
      <c r="E10" s="42" t="s">
        <v>30</v>
      </c>
      <c r="G10" s="121" t="s">
        <v>66</v>
      </c>
      <c r="H10" s="122"/>
      <c r="I10" s="123" t="s">
        <v>79</v>
      </c>
      <c r="J10" s="124"/>
      <c r="K10" s="124"/>
      <c r="L10" s="124"/>
      <c r="M10" s="124"/>
      <c r="N10" s="124"/>
      <c r="O10" s="124"/>
      <c r="P10" s="124"/>
      <c r="Q10" s="124"/>
      <c r="R10" s="125"/>
      <c r="S10" s="26"/>
      <c r="T10" s="114"/>
      <c r="U10" s="115"/>
      <c r="V10" s="115"/>
      <c r="W10" s="115"/>
      <c r="X10" s="115"/>
      <c r="Y10" s="115"/>
      <c r="Z10" s="115"/>
      <c r="AA10" s="115"/>
      <c r="AB10" s="115"/>
      <c r="AC10" s="116"/>
    </row>
    <row r="11" spans="2:29" s="5" customFormat="1" ht="17.25" customHeight="1">
      <c r="B11" s="133" t="s">
        <v>80</v>
      </c>
      <c r="C11" s="134"/>
      <c r="D11" s="43">
        <v>1086</v>
      </c>
      <c r="E11" s="44"/>
      <c r="G11" s="127" t="s">
        <v>31</v>
      </c>
      <c r="H11" s="101"/>
      <c r="I11" s="135" t="s">
        <v>32</v>
      </c>
      <c r="J11" s="136"/>
      <c r="K11" s="136"/>
      <c r="L11" s="136"/>
      <c r="M11" s="136"/>
      <c r="N11" s="136"/>
      <c r="O11" s="136"/>
      <c r="P11" s="136"/>
      <c r="Q11" s="136"/>
      <c r="R11" s="137"/>
      <c r="S11" s="26"/>
      <c r="T11" s="114"/>
      <c r="U11" s="115"/>
      <c r="V11" s="115"/>
      <c r="W11" s="115"/>
      <c r="X11" s="115"/>
      <c r="Y11" s="115"/>
      <c r="Z11" s="115"/>
      <c r="AA11" s="115"/>
      <c r="AB11" s="115"/>
      <c r="AC11" s="116"/>
    </row>
    <row r="12" spans="2:29" s="5" customFormat="1" ht="17.25" customHeight="1">
      <c r="B12" s="117" t="s">
        <v>74</v>
      </c>
      <c r="C12" s="126"/>
      <c r="D12" s="45">
        <f>(D10-D11)/D10</f>
        <v>0.25103448275862067</v>
      </c>
      <c r="E12" s="46" t="s">
        <v>33</v>
      </c>
      <c r="G12" s="127" t="s">
        <v>34</v>
      </c>
      <c r="H12" s="101"/>
      <c r="I12" s="128"/>
      <c r="J12" s="108"/>
      <c r="K12" s="108"/>
      <c r="L12" s="108"/>
      <c r="M12" s="129" t="s">
        <v>35</v>
      </c>
      <c r="N12" s="101"/>
      <c r="O12" s="130" t="s">
        <v>81</v>
      </c>
      <c r="P12" s="131"/>
      <c r="Q12" s="131"/>
      <c r="R12" s="132"/>
      <c r="S12" s="26"/>
      <c r="T12" s="114"/>
      <c r="U12" s="115"/>
      <c r="V12" s="115"/>
      <c r="W12" s="115"/>
      <c r="X12" s="115"/>
      <c r="Y12" s="115"/>
      <c r="Z12" s="115"/>
      <c r="AA12" s="115"/>
      <c r="AB12" s="115"/>
      <c r="AC12" s="116"/>
    </row>
    <row r="13" spans="2:29" s="5" customFormat="1" ht="17.25" customHeight="1">
      <c r="B13" s="117"/>
      <c r="C13" s="126"/>
      <c r="D13" s="138"/>
      <c r="E13" s="139"/>
      <c r="G13" s="121" t="s">
        <v>0</v>
      </c>
      <c r="H13" s="122"/>
      <c r="I13" s="140" t="s">
        <v>82</v>
      </c>
      <c r="J13" s="141"/>
      <c r="K13" s="141"/>
      <c r="L13" s="141"/>
      <c r="M13" s="141"/>
      <c r="N13" s="141"/>
      <c r="O13" s="141"/>
      <c r="P13" s="141"/>
      <c r="Q13" s="141"/>
      <c r="R13" s="142"/>
      <c r="S13" s="26"/>
      <c r="T13" s="114"/>
      <c r="U13" s="115"/>
      <c r="V13" s="115"/>
      <c r="W13" s="115"/>
      <c r="X13" s="115"/>
      <c r="Y13" s="115"/>
      <c r="Z13" s="115"/>
      <c r="AA13" s="115"/>
      <c r="AB13" s="115"/>
      <c r="AC13" s="116"/>
    </row>
    <row r="14" spans="2:29" s="5" customFormat="1" ht="17.25" customHeight="1">
      <c r="B14" s="117" t="s">
        <v>36</v>
      </c>
      <c r="C14" s="126"/>
      <c r="D14" s="143" t="s">
        <v>37</v>
      </c>
      <c r="E14" s="132"/>
      <c r="G14" s="144" t="s">
        <v>38</v>
      </c>
      <c r="H14" s="118"/>
      <c r="I14" s="130" t="s">
        <v>83</v>
      </c>
      <c r="J14" s="131"/>
      <c r="K14" s="131"/>
      <c r="L14" s="131"/>
      <c r="M14" s="131"/>
      <c r="N14" s="131"/>
      <c r="O14" s="131"/>
      <c r="P14" s="131"/>
      <c r="Q14" s="131"/>
      <c r="R14" s="132"/>
      <c r="S14" s="26"/>
      <c r="T14" s="114"/>
      <c r="U14" s="115"/>
      <c r="V14" s="115"/>
      <c r="W14" s="115"/>
      <c r="X14" s="115"/>
      <c r="Y14" s="115"/>
      <c r="Z14" s="115"/>
      <c r="AA14" s="115"/>
      <c r="AB14" s="115"/>
      <c r="AC14" s="116"/>
    </row>
    <row r="15" spans="2:29" s="5" customFormat="1" ht="17.25" customHeight="1">
      <c r="B15" s="145" t="s">
        <v>39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7"/>
      <c r="S15" s="26"/>
      <c r="T15" s="114"/>
      <c r="U15" s="115"/>
      <c r="V15" s="115"/>
      <c r="W15" s="115"/>
      <c r="X15" s="115"/>
      <c r="Y15" s="115"/>
      <c r="Z15" s="115"/>
      <c r="AA15" s="115"/>
      <c r="AB15" s="115"/>
      <c r="AC15" s="116"/>
    </row>
    <row r="16" spans="2:29" ht="17.25" customHeight="1">
      <c r="B16" s="148" t="s">
        <v>40</v>
      </c>
      <c r="C16" s="149"/>
      <c r="D16" s="152" t="s">
        <v>41</v>
      </c>
      <c r="E16" s="154" t="s">
        <v>42</v>
      </c>
      <c r="F16" s="156" t="s">
        <v>43</v>
      </c>
      <c r="G16" s="157"/>
      <c r="H16" s="156" t="s">
        <v>44</v>
      </c>
      <c r="I16" s="157"/>
      <c r="J16" s="156" t="s">
        <v>45</v>
      </c>
      <c r="K16" s="160"/>
      <c r="L16" s="163" t="s">
        <v>46</v>
      </c>
      <c r="M16" s="164"/>
      <c r="N16" s="167" t="s">
        <v>47</v>
      </c>
      <c r="O16" s="168"/>
      <c r="P16" s="169" t="s">
        <v>48</v>
      </c>
      <c r="Q16" s="170"/>
      <c r="R16" s="171" t="s">
        <v>49</v>
      </c>
      <c r="S16" s="28"/>
      <c r="T16" s="114"/>
      <c r="U16" s="115"/>
      <c r="V16" s="115"/>
      <c r="W16" s="115"/>
      <c r="X16" s="115"/>
      <c r="Y16" s="115"/>
      <c r="Z16" s="115"/>
      <c r="AA16" s="115"/>
      <c r="AB16" s="115"/>
      <c r="AC16" s="116"/>
    </row>
    <row r="17" spans="2:29" ht="17.25" customHeight="1">
      <c r="B17" s="150"/>
      <c r="C17" s="151"/>
      <c r="D17" s="153"/>
      <c r="E17" s="155"/>
      <c r="F17" s="158"/>
      <c r="G17" s="159"/>
      <c r="H17" s="158"/>
      <c r="I17" s="159"/>
      <c r="J17" s="161"/>
      <c r="K17" s="162"/>
      <c r="L17" s="165"/>
      <c r="M17" s="166"/>
      <c r="N17" s="165"/>
      <c r="O17" s="166"/>
      <c r="P17" s="161"/>
      <c r="Q17" s="162"/>
      <c r="R17" s="172"/>
      <c r="S17" s="14"/>
      <c r="T17" s="114"/>
      <c r="U17" s="115"/>
      <c r="V17" s="115"/>
      <c r="W17" s="115"/>
      <c r="X17" s="115"/>
      <c r="Y17" s="115"/>
      <c r="Z17" s="115"/>
      <c r="AA17" s="115"/>
      <c r="AB17" s="115"/>
      <c r="AC17" s="116"/>
    </row>
    <row r="18" spans="2:29" ht="17.25" customHeight="1">
      <c r="B18" s="173" t="s">
        <v>50</v>
      </c>
      <c r="C18" s="174"/>
      <c r="D18" s="15">
        <v>45379</v>
      </c>
      <c r="E18" s="23"/>
      <c r="F18" s="175"/>
      <c r="G18" s="176"/>
      <c r="H18" s="175"/>
      <c r="I18" s="176"/>
      <c r="J18" s="175"/>
      <c r="K18" s="176"/>
      <c r="L18" s="175"/>
      <c r="M18" s="176"/>
      <c r="N18" s="175"/>
      <c r="O18" s="176"/>
      <c r="P18" s="175"/>
      <c r="Q18" s="176"/>
      <c r="R18" s="23">
        <v>45575</v>
      </c>
      <c r="S18" s="14"/>
      <c r="T18" s="114"/>
      <c r="U18" s="115"/>
      <c r="V18" s="115"/>
      <c r="W18" s="115"/>
      <c r="X18" s="115"/>
      <c r="Y18" s="115"/>
      <c r="Z18" s="115"/>
      <c r="AA18" s="115"/>
      <c r="AB18" s="115"/>
      <c r="AC18" s="116"/>
    </row>
    <row r="19" spans="2:29" ht="17.25" customHeight="1">
      <c r="B19" s="173" t="s">
        <v>51</v>
      </c>
      <c r="C19" s="174"/>
      <c r="D19" s="23"/>
      <c r="E19" s="23"/>
      <c r="F19" s="175"/>
      <c r="G19" s="176"/>
      <c r="H19" s="175"/>
      <c r="I19" s="176"/>
      <c r="J19" s="175"/>
      <c r="K19" s="176"/>
      <c r="L19" s="175"/>
      <c r="M19" s="176"/>
      <c r="N19" s="175"/>
      <c r="O19" s="176"/>
      <c r="P19" s="175"/>
      <c r="Q19" s="176"/>
      <c r="R19" s="23"/>
      <c r="S19" s="24"/>
      <c r="T19" s="114"/>
      <c r="U19" s="115"/>
      <c r="V19" s="115"/>
      <c r="W19" s="115"/>
      <c r="X19" s="115"/>
      <c r="Y19" s="115"/>
      <c r="Z19" s="115"/>
      <c r="AA19" s="115"/>
      <c r="AB19" s="115"/>
      <c r="AC19" s="116"/>
    </row>
    <row r="20" spans="2:29" ht="17.25" customHeight="1">
      <c r="B20" s="16" t="s">
        <v>52</v>
      </c>
      <c r="C20" s="29" t="s">
        <v>53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24"/>
      <c r="T20" s="114"/>
      <c r="U20" s="115"/>
      <c r="V20" s="115"/>
      <c r="W20" s="115"/>
      <c r="X20" s="115"/>
      <c r="Y20" s="115"/>
      <c r="Z20" s="115"/>
      <c r="AA20" s="115"/>
      <c r="AB20" s="115"/>
      <c r="AC20" s="116"/>
    </row>
    <row r="21" spans="2:29" s="18" customFormat="1" ht="17.25" customHeight="1">
      <c r="B21" s="17"/>
      <c r="C21" s="180" t="s">
        <v>157</v>
      </c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2"/>
      <c r="T21" s="114"/>
      <c r="U21" s="115"/>
      <c r="V21" s="115"/>
      <c r="W21" s="115"/>
      <c r="X21" s="115"/>
      <c r="Y21" s="115"/>
      <c r="Z21" s="115"/>
      <c r="AA21" s="115"/>
      <c r="AB21" s="115"/>
      <c r="AC21" s="116"/>
    </row>
    <row r="22" spans="2:29" ht="17.25" customHeight="1">
      <c r="B22" s="50"/>
      <c r="C22" s="180" t="s">
        <v>158</v>
      </c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2"/>
      <c r="T22" s="114"/>
      <c r="U22" s="115"/>
      <c r="V22" s="115"/>
      <c r="W22" s="115"/>
      <c r="X22" s="115"/>
      <c r="Y22" s="115"/>
      <c r="Z22" s="115"/>
      <c r="AA22" s="115"/>
      <c r="AB22" s="115"/>
      <c r="AC22" s="116"/>
    </row>
    <row r="23" spans="2:29" s="20" customFormat="1" ht="17.25" customHeight="1">
      <c r="B23" s="19"/>
      <c r="C23" s="180" t="s">
        <v>159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2"/>
      <c r="S23" s="32"/>
      <c r="T23" s="114"/>
      <c r="U23" s="115"/>
      <c r="V23" s="115"/>
      <c r="W23" s="115"/>
      <c r="X23" s="115"/>
      <c r="Y23" s="115"/>
      <c r="Z23" s="115"/>
      <c r="AA23" s="115"/>
      <c r="AB23" s="115"/>
      <c r="AC23" s="116"/>
    </row>
    <row r="24" spans="2:29" s="20" customFormat="1" ht="17.25" customHeight="1">
      <c r="B24" s="19"/>
      <c r="C24" s="177" t="s">
        <v>160</v>
      </c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9"/>
      <c r="S24" s="33"/>
      <c r="T24" s="114"/>
      <c r="U24" s="115"/>
      <c r="V24" s="115"/>
      <c r="W24" s="115"/>
      <c r="X24" s="115"/>
      <c r="Y24" s="115"/>
      <c r="Z24" s="115"/>
      <c r="AA24" s="115"/>
      <c r="AB24" s="115"/>
      <c r="AC24" s="116"/>
    </row>
    <row r="25" spans="2:29" s="20" customFormat="1" ht="17.25" customHeight="1">
      <c r="B25" s="19"/>
      <c r="C25" s="180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2"/>
      <c r="S25" s="33"/>
      <c r="T25" s="114"/>
      <c r="U25" s="115"/>
      <c r="V25" s="115"/>
      <c r="W25" s="115"/>
      <c r="X25" s="115"/>
      <c r="Y25" s="115"/>
      <c r="Z25" s="115"/>
      <c r="AA25" s="115"/>
      <c r="AB25" s="115"/>
      <c r="AC25" s="116"/>
    </row>
    <row r="26" spans="2:29" s="20" customFormat="1" ht="17.25" customHeight="1">
      <c r="B26" s="51"/>
      <c r="C26" s="180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2"/>
      <c r="S26" s="33"/>
      <c r="T26" s="114"/>
      <c r="U26" s="115"/>
      <c r="V26" s="115"/>
      <c r="W26" s="115"/>
      <c r="X26" s="115"/>
      <c r="Y26" s="115"/>
      <c r="Z26" s="115"/>
      <c r="AA26" s="115"/>
      <c r="AB26" s="115"/>
      <c r="AC26" s="116"/>
    </row>
    <row r="27" spans="2:29" s="20" customFormat="1" ht="17.25" customHeight="1">
      <c r="B27" s="51"/>
      <c r="C27" s="180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2"/>
      <c r="S27" s="33"/>
      <c r="T27" s="114"/>
      <c r="U27" s="115"/>
      <c r="V27" s="115"/>
      <c r="W27" s="115"/>
      <c r="X27" s="115"/>
      <c r="Y27" s="115"/>
      <c r="Z27" s="115"/>
      <c r="AA27" s="115"/>
      <c r="AB27" s="115"/>
      <c r="AC27" s="116"/>
    </row>
    <row r="28" spans="2:29" s="20" customFormat="1" ht="17.25" customHeight="1">
      <c r="B28" s="51"/>
      <c r="C28" s="180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2"/>
      <c r="S28" s="33"/>
      <c r="T28" s="114"/>
      <c r="U28" s="115"/>
      <c r="V28" s="115"/>
      <c r="W28" s="115"/>
      <c r="X28" s="115"/>
      <c r="Y28" s="115"/>
      <c r="Z28" s="115"/>
      <c r="AA28" s="115"/>
      <c r="AB28" s="115"/>
      <c r="AC28" s="116"/>
    </row>
    <row r="29" spans="2:29" s="20" customFormat="1" ht="17.25" customHeight="1">
      <c r="B29" s="19"/>
      <c r="C29" s="183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5"/>
      <c r="S29" s="33"/>
      <c r="T29" s="114"/>
      <c r="U29" s="115"/>
      <c r="V29" s="115"/>
      <c r="W29" s="115"/>
      <c r="X29" s="115"/>
      <c r="Y29" s="115"/>
      <c r="Z29" s="115"/>
      <c r="AA29" s="115"/>
      <c r="AB29" s="115"/>
      <c r="AC29" s="116"/>
    </row>
    <row r="30" spans="2:29" s="20" customFormat="1" ht="17.25" customHeight="1">
      <c r="B30" s="50"/>
      <c r="C30" s="183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5"/>
      <c r="S30" s="33"/>
      <c r="T30" s="114"/>
      <c r="U30" s="115"/>
      <c r="V30" s="115"/>
      <c r="W30" s="115"/>
      <c r="X30" s="115"/>
      <c r="Y30" s="115"/>
      <c r="Z30" s="115"/>
      <c r="AA30" s="115"/>
      <c r="AB30" s="115"/>
      <c r="AC30" s="116"/>
    </row>
    <row r="31" spans="2:29" s="20" customFormat="1" ht="17.25" customHeight="1">
      <c r="B31" s="19"/>
      <c r="C31" s="183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5"/>
      <c r="S31" s="33"/>
      <c r="T31" s="114"/>
      <c r="U31" s="115"/>
      <c r="V31" s="115"/>
      <c r="W31" s="115"/>
      <c r="X31" s="115"/>
      <c r="Y31" s="115"/>
      <c r="Z31" s="115"/>
      <c r="AA31" s="115"/>
      <c r="AB31" s="115"/>
      <c r="AC31" s="116"/>
    </row>
    <row r="32" spans="2:29" s="20" customFormat="1" ht="17.25" customHeight="1">
      <c r="B32" s="19"/>
      <c r="C32" s="183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5"/>
      <c r="S32" s="33"/>
      <c r="T32" s="114"/>
      <c r="U32" s="115"/>
      <c r="V32" s="115"/>
      <c r="W32" s="115"/>
      <c r="X32" s="115"/>
      <c r="Y32" s="115"/>
      <c r="Z32" s="115"/>
      <c r="AA32" s="115"/>
      <c r="AB32" s="115"/>
      <c r="AC32" s="116"/>
    </row>
    <row r="33" spans="2:29" s="20" customFormat="1" ht="17.25" customHeight="1">
      <c r="B33" s="49"/>
      <c r="C33" s="177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9"/>
      <c r="S33" s="33"/>
      <c r="T33" s="114"/>
      <c r="U33" s="115"/>
      <c r="V33" s="115"/>
      <c r="W33" s="115"/>
      <c r="X33" s="115"/>
      <c r="Y33" s="115"/>
      <c r="Z33" s="115"/>
      <c r="AA33" s="115"/>
      <c r="AB33" s="115"/>
      <c r="AC33" s="116"/>
    </row>
    <row r="34" spans="2:29" s="20" customFormat="1" ht="17.25" customHeight="1">
      <c r="B34" s="48"/>
      <c r="C34" s="177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9"/>
      <c r="S34" s="33"/>
      <c r="T34" s="114"/>
      <c r="U34" s="115"/>
      <c r="V34" s="115"/>
      <c r="W34" s="115"/>
      <c r="X34" s="115"/>
      <c r="Y34" s="115"/>
      <c r="Z34" s="115"/>
      <c r="AA34" s="115"/>
      <c r="AB34" s="115"/>
      <c r="AC34" s="116"/>
    </row>
    <row r="35" spans="2:29" s="20" customFormat="1" ht="17.25" customHeight="1">
      <c r="B35" s="19"/>
      <c r="C35" s="190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9"/>
      <c r="S35" s="33"/>
      <c r="T35" s="114"/>
      <c r="U35" s="115"/>
      <c r="V35" s="115"/>
      <c r="W35" s="115"/>
      <c r="X35" s="115"/>
      <c r="Y35" s="115"/>
      <c r="Z35" s="115"/>
      <c r="AA35" s="115"/>
      <c r="AB35" s="115"/>
      <c r="AC35" s="116"/>
    </row>
    <row r="36" spans="2:29" s="20" customFormat="1" ht="17.25" customHeight="1">
      <c r="B36" s="19"/>
      <c r="C36" s="186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9"/>
      <c r="S36" s="33"/>
      <c r="T36" s="114"/>
      <c r="U36" s="115"/>
      <c r="V36" s="115"/>
      <c r="W36" s="115"/>
      <c r="X36" s="115"/>
      <c r="Y36" s="115"/>
      <c r="Z36" s="115"/>
      <c r="AA36" s="115"/>
      <c r="AB36" s="115"/>
      <c r="AC36" s="116"/>
    </row>
    <row r="37" spans="2:29" s="20" customFormat="1" ht="17.25" customHeight="1">
      <c r="B37" s="19"/>
      <c r="C37" s="187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9"/>
      <c r="S37" s="33"/>
      <c r="T37" s="114"/>
      <c r="U37" s="115"/>
      <c r="V37" s="115"/>
      <c r="W37" s="115"/>
      <c r="X37" s="115"/>
      <c r="Y37" s="115"/>
      <c r="Z37" s="115"/>
      <c r="AA37" s="115"/>
      <c r="AB37" s="115"/>
      <c r="AC37" s="116"/>
    </row>
    <row r="38" spans="2:29" s="20" customFormat="1" ht="17.25" customHeight="1">
      <c r="B38" s="19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9"/>
      <c r="S38" s="33"/>
      <c r="T38" s="114"/>
      <c r="U38" s="115"/>
      <c r="V38" s="115"/>
      <c r="W38" s="115"/>
      <c r="X38" s="115"/>
      <c r="Y38" s="115"/>
      <c r="Z38" s="115"/>
      <c r="AA38" s="115"/>
      <c r="AB38" s="115"/>
      <c r="AC38" s="116"/>
    </row>
    <row r="39" spans="2:29" s="20" customFormat="1" ht="17.25" customHeight="1">
      <c r="B39" s="19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9"/>
      <c r="S39" s="33"/>
      <c r="T39" s="114"/>
      <c r="U39" s="115"/>
      <c r="V39" s="115"/>
      <c r="W39" s="115"/>
      <c r="X39" s="115"/>
      <c r="Y39" s="115"/>
      <c r="Z39" s="115"/>
      <c r="AA39" s="115"/>
      <c r="AB39" s="115"/>
      <c r="AC39" s="116"/>
    </row>
    <row r="40" spans="2:29" s="20" customFormat="1" ht="17.25" customHeight="1">
      <c r="B40" s="19"/>
      <c r="C40" s="187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9"/>
      <c r="S40" s="33"/>
      <c r="T40" s="114"/>
      <c r="U40" s="115"/>
      <c r="V40" s="115"/>
      <c r="W40" s="115"/>
      <c r="X40" s="115"/>
      <c r="Y40" s="115"/>
      <c r="Z40" s="115"/>
      <c r="AA40" s="115"/>
      <c r="AB40" s="115"/>
      <c r="AC40" s="116"/>
    </row>
    <row r="41" spans="2:29" s="20" customFormat="1" ht="17.25" customHeight="1">
      <c r="B41" s="19"/>
      <c r="C41" s="187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9"/>
      <c r="S41" s="33"/>
      <c r="T41" s="114"/>
      <c r="U41" s="115"/>
      <c r="V41" s="115"/>
      <c r="W41" s="115"/>
      <c r="X41" s="115"/>
      <c r="Y41" s="115"/>
      <c r="Z41" s="115"/>
      <c r="AA41" s="115"/>
      <c r="AB41" s="115"/>
      <c r="AC41" s="116"/>
    </row>
    <row r="42" spans="2:29" s="20" customFormat="1" ht="17.25" customHeight="1">
      <c r="B42" s="19"/>
      <c r="C42" s="187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9"/>
      <c r="S42" s="33"/>
      <c r="T42" s="114"/>
      <c r="U42" s="115"/>
      <c r="V42" s="115"/>
      <c r="W42" s="115"/>
      <c r="X42" s="115"/>
      <c r="Y42" s="115"/>
      <c r="Z42" s="115"/>
      <c r="AA42" s="115"/>
      <c r="AB42" s="115"/>
      <c r="AC42" s="116"/>
    </row>
    <row r="43" spans="2:29" s="20" customFormat="1" ht="17.25" customHeight="1">
      <c r="B43" s="19"/>
      <c r="C43" s="187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9"/>
      <c r="S43" s="33"/>
      <c r="T43" s="114"/>
      <c r="U43" s="115"/>
      <c r="V43" s="115"/>
      <c r="W43" s="115"/>
      <c r="X43" s="115"/>
      <c r="Y43" s="115"/>
      <c r="Z43" s="115"/>
      <c r="AA43" s="115"/>
      <c r="AB43" s="115"/>
      <c r="AC43" s="116"/>
    </row>
    <row r="44" spans="2:29" s="20" customFormat="1" ht="17.25" customHeight="1">
      <c r="B44" s="19"/>
      <c r="C44" s="187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9"/>
      <c r="S44" s="33"/>
      <c r="T44" s="114"/>
      <c r="U44" s="115"/>
      <c r="V44" s="115"/>
      <c r="W44" s="115"/>
      <c r="X44" s="115"/>
      <c r="Y44" s="115"/>
      <c r="Z44" s="115"/>
      <c r="AA44" s="115"/>
      <c r="AB44" s="115"/>
      <c r="AC44" s="116"/>
    </row>
    <row r="45" spans="2:29" s="20" customFormat="1" ht="17.25" customHeight="1">
      <c r="B45" s="19"/>
      <c r="C45" s="187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9"/>
      <c r="S45" s="33"/>
      <c r="T45" s="114"/>
      <c r="U45" s="115"/>
      <c r="V45" s="115"/>
      <c r="W45" s="115"/>
      <c r="X45" s="115"/>
      <c r="Y45" s="115"/>
      <c r="Z45" s="115"/>
      <c r="AA45" s="115"/>
      <c r="AB45" s="115"/>
      <c r="AC45" s="116"/>
    </row>
    <row r="46" spans="2:29" s="20" customFormat="1" ht="17.25" customHeight="1">
      <c r="B46" s="19"/>
      <c r="C46" s="187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9"/>
      <c r="S46" s="33"/>
      <c r="T46" s="114"/>
      <c r="U46" s="115"/>
      <c r="V46" s="115"/>
      <c r="W46" s="115"/>
      <c r="X46" s="115"/>
      <c r="Y46" s="115"/>
      <c r="Z46" s="115"/>
      <c r="AA46" s="115"/>
      <c r="AB46" s="115"/>
      <c r="AC46" s="116"/>
    </row>
    <row r="47" spans="2:29" s="20" customFormat="1" ht="17.25" customHeight="1">
      <c r="B47" s="19"/>
      <c r="C47" s="187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9"/>
      <c r="S47" s="33"/>
      <c r="T47" s="114"/>
      <c r="U47" s="115"/>
      <c r="V47" s="115"/>
      <c r="W47" s="115"/>
      <c r="X47" s="115"/>
      <c r="Y47" s="115"/>
      <c r="Z47" s="115"/>
      <c r="AA47" s="115"/>
      <c r="AB47" s="115"/>
      <c r="AC47" s="116"/>
    </row>
    <row r="48" spans="2:29" s="20" customFormat="1" ht="17.25" customHeight="1">
      <c r="B48" s="19"/>
      <c r="C48" s="187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9"/>
      <c r="S48" s="33"/>
      <c r="T48" s="114"/>
      <c r="U48" s="115"/>
      <c r="V48" s="115"/>
      <c r="W48" s="115"/>
      <c r="X48" s="115"/>
      <c r="Y48" s="115"/>
      <c r="Z48" s="115"/>
      <c r="AA48" s="115"/>
      <c r="AB48" s="115"/>
      <c r="AC48" s="116"/>
    </row>
    <row r="49" spans="2:29" s="20" customFormat="1" ht="17.25" customHeight="1">
      <c r="B49" s="19"/>
      <c r="C49" s="191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3"/>
      <c r="S49" s="33"/>
      <c r="T49" s="114"/>
      <c r="U49" s="115"/>
      <c r="V49" s="115"/>
      <c r="W49" s="115"/>
      <c r="X49" s="115"/>
      <c r="Y49" s="115"/>
      <c r="Z49" s="115"/>
      <c r="AA49" s="115"/>
      <c r="AB49" s="115"/>
      <c r="AC49" s="116"/>
    </row>
    <row r="50" spans="2:29" s="20" customFormat="1" ht="17.25" customHeight="1">
      <c r="B50" s="21"/>
      <c r="C50" s="194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6"/>
      <c r="S50" s="33"/>
      <c r="T50" s="114"/>
      <c r="U50" s="115"/>
      <c r="V50" s="115"/>
      <c r="W50" s="115"/>
      <c r="X50" s="115"/>
      <c r="Y50" s="115"/>
      <c r="Z50" s="115"/>
      <c r="AA50" s="115"/>
      <c r="AB50" s="115"/>
      <c r="AC50" s="116"/>
    </row>
    <row r="51" spans="2:29" ht="9" customHeight="1">
      <c r="B51" s="197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</row>
    <row r="52" spans="2:29" ht="12" customHeight="1">
      <c r="B52" s="34"/>
      <c r="C52" s="199" t="s">
        <v>54</v>
      </c>
      <c r="D52" s="22" t="s">
        <v>55</v>
      </c>
      <c r="E52" s="22" t="s">
        <v>56</v>
      </c>
      <c r="F52" s="201" t="s">
        <v>57</v>
      </c>
      <c r="G52" s="202"/>
      <c r="H52" s="201" t="s">
        <v>58</v>
      </c>
      <c r="I52" s="202"/>
      <c r="J52" s="203" t="s">
        <v>59</v>
      </c>
      <c r="K52" s="204"/>
      <c r="L52" s="203" t="s">
        <v>60</v>
      </c>
      <c r="M52" s="204"/>
      <c r="N52" s="205"/>
      <c r="O52" s="206"/>
      <c r="P52" s="207"/>
      <c r="Q52" s="206"/>
      <c r="R52" s="22" t="s">
        <v>61</v>
      </c>
      <c r="S52" s="35"/>
      <c r="T52" s="114"/>
      <c r="U52" s="115"/>
      <c r="V52" s="115"/>
      <c r="W52" s="115"/>
      <c r="X52" s="115"/>
      <c r="Y52" s="115"/>
      <c r="Z52" s="115"/>
      <c r="AA52" s="115"/>
      <c r="AB52" s="115"/>
      <c r="AC52" s="116"/>
    </row>
    <row r="53" spans="2:29" ht="52.5" customHeight="1">
      <c r="B53" s="36"/>
      <c r="C53" s="200"/>
      <c r="D53" s="15"/>
      <c r="E53" s="15"/>
      <c r="F53" s="210"/>
      <c r="G53" s="210"/>
      <c r="H53" s="210" t="s">
        <v>62</v>
      </c>
      <c r="I53" s="210"/>
      <c r="J53" s="210" t="s">
        <v>62</v>
      </c>
      <c r="K53" s="210"/>
      <c r="L53" s="211" t="s">
        <v>161</v>
      </c>
      <c r="M53" s="210"/>
      <c r="N53" s="212"/>
      <c r="O53" s="213"/>
      <c r="P53" s="214"/>
      <c r="Q53" s="214"/>
      <c r="R53" s="23"/>
      <c r="S53" s="35"/>
      <c r="T53" s="114"/>
      <c r="U53" s="115"/>
      <c r="V53" s="115"/>
      <c r="W53" s="115"/>
      <c r="X53" s="115"/>
      <c r="Y53" s="115"/>
      <c r="Z53" s="115"/>
      <c r="AA53" s="115"/>
      <c r="AB53" s="115"/>
      <c r="AC53" s="116"/>
    </row>
    <row r="54" spans="2:29" ht="24" customHeight="1">
      <c r="B54" s="208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</row>
  </sheetData>
  <mergeCells count="169">
    <mergeCell ref="B54:R54"/>
    <mergeCell ref="T52:AC52"/>
    <mergeCell ref="F53:G53"/>
    <mergeCell ref="H53:I53"/>
    <mergeCell ref="J53:K53"/>
    <mergeCell ref="L53:M53"/>
    <mergeCell ref="N53:O53"/>
    <mergeCell ref="P53:Q53"/>
    <mergeCell ref="T53:AC53"/>
    <mergeCell ref="B51:R51"/>
    <mergeCell ref="C52:C53"/>
    <mergeCell ref="F52:G52"/>
    <mergeCell ref="H52:I52"/>
    <mergeCell ref="J52:K52"/>
    <mergeCell ref="L52:M52"/>
    <mergeCell ref="N52:O52"/>
    <mergeCell ref="P52:Q52"/>
    <mergeCell ref="C48:R48"/>
    <mergeCell ref="T48:AC48"/>
    <mergeCell ref="C49:R49"/>
    <mergeCell ref="T49:AC49"/>
    <mergeCell ref="C50:R50"/>
    <mergeCell ref="T50:AC50"/>
    <mergeCell ref="C45:R45"/>
    <mergeCell ref="T45:AC45"/>
    <mergeCell ref="C46:R46"/>
    <mergeCell ref="T46:AC46"/>
    <mergeCell ref="C47:R47"/>
    <mergeCell ref="T47:AC47"/>
    <mergeCell ref="C42:R42"/>
    <mergeCell ref="T42:AC42"/>
    <mergeCell ref="C43:R43"/>
    <mergeCell ref="T43:AC43"/>
    <mergeCell ref="C44:R44"/>
    <mergeCell ref="T44:AC44"/>
    <mergeCell ref="C39:R39"/>
    <mergeCell ref="T39:AC39"/>
    <mergeCell ref="C40:R40"/>
    <mergeCell ref="T40:AC40"/>
    <mergeCell ref="C41:R41"/>
    <mergeCell ref="T41:AC41"/>
    <mergeCell ref="C36:R36"/>
    <mergeCell ref="T36:AC36"/>
    <mergeCell ref="C37:R37"/>
    <mergeCell ref="T37:AC37"/>
    <mergeCell ref="C38:R38"/>
    <mergeCell ref="T38:AC38"/>
    <mergeCell ref="C33:R33"/>
    <mergeCell ref="T33:AC33"/>
    <mergeCell ref="C34:R34"/>
    <mergeCell ref="T34:AC34"/>
    <mergeCell ref="C35:R35"/>
    <mergeCell ref="T35:AC35"/>
    <mergeCell ref="C30:R30"/>
    <mergeCell ref="T30:AC30"/>
    <mergeCell ref="C31:R31"/>
    <mergeCell ref="T31:AC31"/>
    <mergeCell ref="C32:R32"/>
    <mergeCell ref="T32:AC32"/>
    <mergeCell ref="C27:R27"/>
    <mergeCell ref="T27:AC27"/>
    <mergeCell ref="C28:R28"/>
    <mergeCell ref="T28:AC28"/>
    <mergeCell ref="C29:R29"/>
    <mergeCell ref="T29:AC29"/>
    <mergeCell ref="C24:R24"/>
    <mergeCell ref="T24:AC24"/>
    <mergeCell ref="C25:R25"/>
    <mergeCell ref="T25:AC25"/>
    <mergeCell ref="C26:R26"/>
    <mergeCell ref="T26:AC26"/>
    <mergeCell ref="T20:AC20"/>
    <mergeCell ref="C21:R21"/>
    <mergeCell ref="T21:AC21"/>
    <mergeCell ref="C22:R22"/>
    <mergeCell ref="T22:AC22"/>
    <mergeCell ref="C23:R23"/>
    <mergeCell ref="T23:AC23"/>
    <mergeCell ref="B18:C18"/>
    <mergeCell ref="F18:G18"/>
    <mergeCell ref="H18:I18"/>
    <mergeCell ref="J18:K18"/>
    <mergeCell ref="L18:M18"/>
    <mergeCell ref="N18:O18"/>
    <mergeCell ref="P18:Q18"/>
    <mergeCell ref="T18:AC18"/>
    <mergeCell ref="B19:C19"/>
    <mergeCell ref="F19:G19"/>
    <mergeCell ref="H19:I19"/>
    <mergeCell ref="J19:K19"/>
    <mergeCell ref="L19:M19"/>
    <mergeCell ref="N19:O19"/>
    <mergeCell ref="P19:Q19"/>
    <mergeCell ref="T19:AC19"/>
    <mergeCell ref="B15:R15"/>
    <mergeCell ref="T15:AC15"/>
    <mergeCell ref="B16:C17"/>
    <mergeCell ref="D16:D17"/>
    <mergeCell ref="E16:E17"/>
    <mergeCell ref="F16:G17"/>
    <mergeCell ref="H16:I17"/>
    <mergeCell ref="J16:K17"/>
    <mergeCell ref="L16:M17"/>
    <mergeCell ref="N16:O17"/>
    <mergeCell ref="P16:Q17"/>
    <mergeCell ref="R16:R17"/>
    <mergeCell ref="T16:AC16"/>
    <mergeCell ref="T17:AC17"/>
    <mergeCell ref="B13:C13"/>
    <mergeCell ref="D13:E13"/>
    <mergeCell ref="G13:H13"/>
    <mergeCell ref="I13:R13"/>
    <mergeCell ref="T13:AC13"/>
    <mergeCell ref="B14:C14"/>
    <mergeCell ref="D14:E14"/>
    <mergeCell ref="G14:H14"/>
    <mergeCell ref="I14:R14"/>
    <mergeCell ref="T14:AC14"/>
    <mergeCell ref="B12:C12"/>
    <mergeCell ref="G12:H12"/>
    <mergeCell ref="I12:L12"/>
    <mergeCell ref="M12:N12"/>
    <mergeCell ref="O12:R12"/>
    <mergeCell ref="T12:AC12"/>
    <mergeCell ref="B10:C10"/>
    <mergeCell ref="G10:H10"/>
    <mergeCell ref="I10:R10"/>
    <mergeCell ref="T10:AC10"/>
    <mergeCell ref="B11:C11"/>
    <mergeCell ref="G11:H11"/>
    <mergeCell ref="I11:R11"/>
    <mergeCell ref="T11:AC11"/>
    <mergeCell ref="B8:C8"/>
    <mergeCell ref="D8:E8"/>
    <mergeCell ref="G8:H8"/>
    <mergeCell ref="I8:R8"/>
    <mergeCell ref="T8:AC8"/>
    <mergeCell ref="B9:C9"/>
    <mergeCell ref="D9:E9"/>
    <mergeCell ref="G9:H9"/>
    <mergeCell ref="I9:R9"/>
    <mergeCell ref="T9:AC9"/>
    <mergeCell ref="B6:C6"/>
    <mergeCell ref="D6:E6"/>
    <mergeCell ref="G6:H6"/>
    <mergeCell ref="I6:R6"/>
    <mergeCell ref="T6:AC6"/>
    <mergeCell ref="B7:C7"/>
    <mergeCell ref="G7:H7"/>
    <mergeCell ref="I7:R7"/>
    <mergeCell ref="T7:AC7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1:E1"/>
    <mergeCell ref="G1:H1"/>
    <mergeCell ref="O1:P1"/>
    <mergeCell ref="Q1:R1"/>
    <mergeCell ref="C3:E3"/>
    <mergeCell ref="F3:G3"/>
    <mergeCell ref="H3:K3"/>
    <mergeCell ref="L3:M3"/>
    <mergeCell ref="N3:R3"/>
  </mergeCells>
  <phoneticPr fontId="22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8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9E4C-A39D-492F-8403-BAC53F6F5A6F}">
  <sheetPr>
    <tabColor theme="5" tint="0.79998168889431442"/>
    <pageSetUpPr fitToPage="1"/>
  </sheetPr>
  <dimension ref="B1:M69"/>
  <sheetViews>
    <sheetView view="pageBreakPreview" zoomScale="60" zoomScaleNormal="100" workbookViewId="0">
      <selection activeCell="D27" sqref="D27:F27"/>
    </sheetView>
  </sheetViews>
  <sheetFormatPr defaultColWidth="9" defaultRowHeight="18.75"/>
  <cols>
    <col min="1" max="1" width="9" style="61"/>
    <col min="2" max="2" width="1.625" style="61" customWidth="1"/>
    <col min="3" max="3" width="15.625" style="73" customWidth="1"/>
    <col min="4" max="7" width="10.625" style="73" customWidth="1"/>
    <col min="8" max="8" width="10.625" style="79" customWidth="1"/>
    <col min="9" max="9" width="10.625" style="73" customWidth="1"/>
    <col min="10" max="16384" width="9" style="61"/>
  </cols>
  <sheetData>
    <row r="1" spans="3:11" s="56" customFormat="1" ht="24.95" customHeight="1">
      <c r="C1" s="280" t="s">
        <v>84</v>
      </c>
      <c r="D1" s="280"/>
      <c r="E1" s="280"/>
      <c r="F1" s="280"/>
      <c r="G1" s="280"/>
      <c r="H1" s="280"/>
      <c r="I1" s="280"/>
      <c r="J1" s="54"/>
      <c r="K1" s="55"/>
    </row>
    <row r="2" spans="3:11" ht="20.100000000000001" customHeight="1">
      <c r="C2" s="57" t="s">
        <v>85</v>
      </c>
      <c r="D2" s="58">
        <v>145</v>
      </c>
      <c r="E2" s="281" t="s">
        <v>86</v>
      </c>
      <c r="F2" s="281"/>
      <c r="G2" s="281"/>
      <c r="H2" s="59" t="s">
        <v>87</v>
      </c>
      <c r="I2" s="60">
        <v>45336</v>
      </c>
    </row>
    <row r="3" spans="3:11" ht="20.100000000000001" customHeight="1">
      <c r="C3" s="62" t="s">
        <v>88</v>
      </c>
      <c r="D3" s="247">
        <v>832807</v>
      </c>
      <c r="E3" s="248"/>
      <c r="F3" s="248"/>
      <c r="G3" s="274"/>
      <c r="H3" s="65" t="s">
        <v>89</v>
      </c>
      <c r="I3" s="65" t="s">
        <v>90</v>
      </c>
    </row>
    <row r="4" spans="3:11" ht="20.100000000000001" customHeight="1">
      <c r="C4" s="62" t="s">
        <v>91</v>
      </c>
      <c r="D4" s="247" t="s">
        <v>92</v>
      </c>
      <c r="E4" s="248"/>
      <c r="F4" s="248"/>
      <c r="G4" s="274"/>
      <c r="H4" s="65"/>
      <c r="I4" s="65"/>
    </row>
    <row r="5" spans="3:11" ht="20.100000000000001" customHeight="1">
      <c r="C5" s="62" t="s">
        <v>93</v>
      </c>
      <c r="D5" s="247" t="s">
        <v>147</v>
      </c>
      <c r="E5" s="248"/>
      <c r="F5" s="248"/>
      <c r="G5" s="274"/>
      <c r="H5" s="65"/>
      <c r="I5" s="65"/>
    </row>
    <row r="6" spans="3:11" ht="20.100000000000001" customHeight="1">
      <c r="C6" s="62" t="s">
        <v>94</v>
      </c>
      <c r="D6" s="247" t="s">
        <v>95</v>
      </c>
      <c r="E6" s="248"/>
      <c r="F6" s="248"/>
      <c r="G6" s="274"/>
      <c r="H6" s="65"/>
      <c r="I6" s="65"/>
    </row>
    <row r="7" spans="3:11" ht="20.100000000000001" customHeight="1">
      <c r="C7" s="62" t="s">
        <v>96</v>
      </c>
      <c r="D7" s="247" t="s">
        <v>97</v>
      </c>
      <c r="E7" s="248"/>
      <c r="F7" s="248"/>
      <c r="G7" s="274"/>
      <c r="H7" s="65"/>
      <c r="I7" s="65"/>
    </row>
    <row r="8" spans="3:11" ht="20.100000000000001" customHeight="1">
      <c r="C8" s="62" t="s">
        <v>98</v>
      </c>
      <c r="D8" s="247">
        <v>135</v>
      </c>
      <c r="E8" s="248"/>
      <c r="F8" s="248"/>
      <c r="G8" s="64" t="s">
        <v>99</v>
      </c>
      <c r="H8" s="65"/>
      <c r="I8" s="65"/>
    </row>
    <row r="9" spans="3:11" ht="20.100000000000001" customHeight="1">
      <c r="C9" s="62" t="s">
        <v>100</v>
      </c>
      <c r="D9" s="247"/>
      <c r="E9" s="248"/>
      <c r="F9" s="248"/>
      <c r="G9" s="64" t="s">
        <v>101</v>
      </c>
      <c r="H9" s="65"/>
      <c r="I9" s="65"/>
    </row>
    <row r="10" spans="3:11" ht="20.100000000000001" customHeight="1">
      <c r="C10" s="62" t="s">
        <v>102</v>
      </c>
      <c r="D10" s="247">
        <v>3.2</v>
      </c>
      <c r="E10" s="248"/>
      <c r="F10" s="248"/>
      <c r="G10" s="64" t="s">
        <v>101</v>
      </c>
      <c r="H10" s="65"/>
      <c r="I10" s="65"/>
    </row>
    <row r="11" spans="3:11" ht="20.100000000000001" customHeight="1">
      <c r="C11" s="62" t="s">
        <v>103</v>
      </c>
      <c r="D11" s="277">
        <v>1.2</v>
      </c>
      <c r="E11" s="278"/>
      <c r="F11" s="278"/>
      <c r="G11" s="279"/>
      <c r="H11" s="65"/>
      <c r="I11" s="65">
        <f>D10*D11</f>
        <v>3.84</v>
      </c>
    </row>
    <row r="12" spans="3:11" ht="20.100000000000001" customHeight="1">
      <c r="C12" s="62" t="s">
        <v>104</v>
      </c>
      <c r="D12" s="66" t="s">
        <v>105</v>
      </c>
      <c r="E12" s="63">
        <v>1.4</v>
      </c>
      <c r="F12" s="63" t="s">
        <v>106</v>
      </c>
      <c r="G12" s="64">
        <v>0.13</v>
      </c>
      <c r="H12" s="65"/>
      <c r="I12" s="65">
        <f>IFERROR(E12*G12,0)</f>
        <v>0.182</v>
      </c>
    </row>
    <row r="13" spans="3:11" ht="20.100000000000001" customHeight="1">
      <c r="C13" s="62" t="s">
        <v>107</v>
      </c>
      <c r="D13" s="66" t="s">
        <v>105</v>
      </c>
      <c r="E13" s="63">
        <v>0.69</v>
      </c>
      <c r="F13" s="63" t="s">
        <v>106</v>
      </c>
      <c r="G13" s="64">
        <v>0.18</v>
      </c>
      <c r="H13" s="65"/>
      <c r="I13" s="65">
        <f>E13*G13</f>
        <v>0.12419999999999999</v>
      </c>
    </row>
    <row r="14" spans="3:11" ht="20.100000000000001" customHeight="1">
      <c r="C14" s="62" t="s">
        <v>108</v>
      </c>
      <c r="D14" s="66" t="s">
        <v>105</v>
      </c>
      <c r="E14" s="63">
        <v>0.4</v>
      </c>
      <c r="F14" s="63" t="s">
        <v>106</v>
      </c>
      <c r="G14" s="64">
        <v>0.02</v>
      </c>
      <c r="H14" s="65"/>
      <c r="I14" s="65">
        <f>IFERROR(E14*G14,0)</f>
        <v>8.0000000000000002E-3</v>
      </c>
    </row>
    <row r="15" spans="3:11" ht="20.100000000000001" customHeight="1">
      <c r="C15" s="62" t="s">
        <v>109</v>
      </c>
      <c r="D15" s="66" t="s">
        <v>105</v>
      </c>
      <c r="E15" s="63"/>
      <c r="F15" s="63" t="s">
        <v>106</v>
      </c>
      <c r="G15" s="64"/>
      <c r="H15" s="65"/>
      <c r="I15" s="65">
        <f>E15*G15</f>
        <v>0</v>
      </c>
    </row>
    <row r="16" spans="3:11" ht="20.100000000000001" customHeight="1">
      <c r="C16" s="62" t="s">
        <v>110</v>
      </c>
      <c r="D16" s="247"/>
      <c r="E16" s="248"/>
      <c r="F16" s="248"/>
      <c r="G16" s="274"/>
      <c r="H16" s="65"/>
      <c r="I16" s="65">
        <v>0</v>
      </c>
    </row>
    <row r="17" spans="3:9" ht="20.100000000000001" customHeight="1">
      <c r="C17" s="62" t="s">
        <v>111</v>
      </c>
      <c r="D17" s="247" t="s">
        <v>112</v>
      </c>
      <c r="E17" s="248"/>
      <c r="F17" s="248"/>
      <c r="G17" s="274"/>
      <c r="H17" s="65"/>
      <c r="I17" s="65">
        <v>0.15959999999999999</v>
      </c>
    </row>
    <row r="18" spans="3:9" ht="20.100000000000001" customHeight="1">
      <c r="C18" s="254" t="s">
        <v>113</v>
      </c>
      <c r="D18" s="258" t="s">
        <v>114</v>
      </c>
      <c r="E18" s="259"/>
      <c r="F18" s="259"/>
      <c r="G18" s="275"/>
      <c r="H18" s="260"/>
      <c r="I18" s="260">
        <v>0.25</v>
      </c>
    </row>
    <row r="19" spans="3:9" ht="20.100000000000001" customHeight="1">
      <c r="C19" s="255"/>
      <c r="D19" s="262"/>
      <c r="E19" s="263"/>
      <c r="F19" s="263"/>
      <c r="G19" s="276"/>
      <c r="H19" s="261"/>
      <c r="I19" s="261"/>
    </row>
    <row r="20" spans="3:9" ht="20.100000000000001" customHeight="1">
      <c r="C20" s="254" t="s">
        <v>115</v>
      </c>
      <c r="D20" s="258" t="s">
        <v>116</v>
      </c>
      <c r="E20" s="259"/>
      <c r="F20" s="259"/>
      <c r="G20" s="67">
        <v>11.4</v>
      </c>
      <c r="H20" s="260">
        <f>SUM(G20,G21)</f>
        <v>26.200000000000003</v>
      </c>
      <c r="I20" s="260"/>
    </row>
    <row r="21" spans="3:9" ht="20.100000000000001" customHeight="1">
      <c r="C21" s="255"/>
      <c r="D21" s="262" t="s">
        <v>117</v>
      </c>
      <c r="E21" s="263"/>
      <c r="F21" s="263"/>
      <c r="G21" s="68">
        <v>14.8</v>
      </c>
      <c r="H21" s="261"/>
      <c r="I21" s="261"/>
    </row>
    <row r="22" spans="3:9" ht="20.100000000000001" customHeight="1">
      <c r="C22" s="254" t="s">
        <v>118</v>
      </c>
      <c r="D22" s="258" t="s">
        <v>76</v>
      </c>
      <c r="E22" s="259"/>
      <c r="F22" s="259"/>
      <c r="G22" s="67">
        <v>6.3E-2</v>
      </c>
      <c r="H22" s="260"/>
      <c r="I22" s="260">
        <f>SUM(G22,G23,G24)</f>
        <v>0.1318</v>
      </c>
    </row>
    <row r="23" spans="3:9" ht="20.100000000000001" customHeight="1">
      <c r="C23" s="264"/>
      <c r="D23" s="272" t="s">
        <v>119</v>
      </c>
      <c r="E23" s="273"/>
      <c r="F23" s="273"/>
      <c r="G23" s="69">
        <v>6.3E-2</v>
      </c>
      <c r="H23" s="265"/>
      <c r="I23" s="265"/>
    </row>
    <row r="24" spans="3:9" ht="20.100000000000001" customHeight="1">
      <c r="C24" s="264"/>
      <c r="D24" s="262" t="s">
        <v>120</v>
      </c>
      <c r="E24" s="263"/>
      <c r="F24" s="263"/>
      <c r="G24" s="68">
        <v>5.7999999999999996E-3</v>
      </c>
      <c r="H24" s="261"/>
      <c r="I24" s="261"/>
    </row>
    <row r="25" spans="3:9" ht="20.100000000000001" customHeight="1">
      <c r="C25" s="264"/>
      <c r="D25" s="258"/>
      <c r="E25" s="259"/>
      <c r="F25" s="259"/>
      <c r="G25" s="67"/>
      <c r="H25" s="260"/>
      <c r="I25" s="260">
        <f>SUM(G25,G26,G27)</f>
        <v>0</v>
      </c>
    </row>
    <row r="26" spans="3:9" ht="20.100000000000001" customHeight="1">
      <c r="C26" s="264"/>
      <c r="D26" s="272"/>
      <c r="E26" s="273"/>
      <c r="F26" s="273"/>
      <c r="G26" s="69"/>
      <c r="H26" s="265"/>
      <c r="I26" s="265"/>
    </row>
    <row r="27" spans="3:9" ht="20.100000000000001" customHeight="1">
      <c r="C27" s="255"/>
      <c r="D27" s="262"/>
      <c r="E27" s="263"/>
      <c r="F27" s="263"/>
      <c r="G27" s="68"/>
      <c r="H27" s="261"/>
      <c r="I27" s="261"/>
    </row>
    <row r="28" spans="3:9" ht="20.100000000000001" customHeight="1">
      <c r="C28" s="254" t="s">
        <v>121</v>
      </c>
      <c r="D28" s="258" t="s">
        <v>122</v>
      </c>
      <c r="E28" s="259"/>
      <c r="F28" s="259"/>
      <c r="G28" s="67">
        <v>0.01</v>
      </c>
      <c r="H28" s="260"/>
      <c r="I28" s="260">
        <f>SUM(G28,G30,G31)</f>
        <v>0.01</v>
      </c>
    </row>
    <row r="29" spans="3:9" ht="20.100000000000001" customHeight="1">
      <c r="C29" s="264"/>
      <c r="D29" s="270"/>
      <c r="E29" s="271"/>
      <c r="F29" s="271"/>
      <c r="G29" s="70"/>
      <c r="H29" s="265"/>
      <c r="I29" s="265"/>
    </row>
    <row r="30" spans="3:9" ht="20.100000000000001" customHeight="1">
      <c r="C30" s="264"/>
      <c r="D30" s="266"/>
      <c r="E30" s="267"/>
      <c r="F30" s="267"/>
      <c r="G30" s="70"/>
      <c r="H30" s="265"/>
      <c r="I30" s="265"/>
    </row>
    <row r="31" spans="3:9" ht="20.100000000000001" customHeight="1">
      <c r="C31" s="255"/>
      <c r="D31" s="268"/>
      <c r="E31" s="269"/>
      <c r="F31" s="269"/>
      <c r="G31" s="71"/>
      <c r="H31" s="261"/>
      <c r="I31" s="261"/>
    </row>
    <row r="32" spans="3:9" ht="20.100000000000001" customHeight="1">
      <c r="C32" s="264" t="s">
        <v>123</v>
      </c>
      <c r="D32" s="258" t="s">
        <v>124</v>
      </c>
      <c r="E32" s="259"/>
      <c r="F32" s="259"/>
      <c r="G32" s="67">
        <v>0.03</v>
      </c>
      <c r="H32" s="260"/>
      <c r="I32" s="260">
        <f>SUM(G32,G33)</f>
        <v>3.09E-2</v>
      </c>
    </row>
    <row r="33" spans="3:9" ht="20.100000000000001" customHeight="1">
      <c r="C33" s="264"/>
      <c r="D33" s="262" t="s">
        <v>125</v>
      </c>
      <c r="E33" s="263"/>
      <c r="F33" s="263"/>
      <c r="G33" s="68">
        <v>8.9999999999999998E-4</v>
      </c>
      <c r="H33" s="261"/>
      <c r="I33" s="261"/>
    </row>
    <row r="34" spans="3:9" ht="20.100000000000001" customHeight="1">
      <c r="C34" s="264"/>
      <c r="D34" s="258"/>
      <c r="E34" s="259"/>
      <c r="F34" s="259"/>
      <c r="G34" s="67"/>
      <c r="H34" s="260"/>
      <c r="I34" s="260">
        <f>SUM(G34,G35,G36)</f>
        <v>0</v>
      </c>
    </row>
    <row r="35" spans="3:9" ht="20.100000000000001" customHeight="1">
      <c r="C35" s="264"/>
      <c r="D35" s="266"/>
      <c r="E35" s="267"/>
      <c r="F35" s="267"/>
      <c r="G35" s="70"/>
      <c r="H35" s="265"/>
      <c r="I35" s="265"/>
    </row>
    <row r="36" spans="3:9" ht="20.100000000000001" customHeight="1">
      <c r="C36" s="255"/>
      <c r="D36" s="268"/>
      <c r="E36" s="269"/>
      <c r="F36" s="269"/>
      <c r="G36" s="71"/>
      <c r="H36" s="261"/>
      <c r="I36" s="261"/>
    </row>
    <row r="37" spans="3:9" ht="20.100000000000001" customHeight="1">
      <c r="C37" s="254" t="s">
        <v>126</v>
      </c>
      <c r="D37" s="258" t="s">
        <v>127</v>
      </c>
      <c r="E37" s="259"/>
      <c r="F37" s="259"/>
      <c r="G37" s="67">
        <v>0.08</v>
      </c>
      <c r="H37" s="260"/>
      <c r="I37" s="260">
        <f>SUM(G37,G38)</f>
        <v>0.09</v>
      </c>
    </row>
    <row r="38" spans="3:9" ht="20.100000000000001" customHeight="1">
      <c r="C38" s="255"/>
      <c r="D38" s="262" t="s">
        <v>128</v>
      </c>
      <c r="E38" s="263"/>
      <c r="F38" s="263"/>
      <c r="G38" s="68">
        <v>0.01</v>
      </c>
      <c r="H38" s="261"/>
      <c r="I38" s="261"/>
    </row>
    <row r="39" spans="3:9" ht="20.100000000000001" customHeight="1">
      <c r="C39" s="62" t="s">
        <v>129</v>
      </c>
      <c r="D39" s="249"/>
      <c r="E39" s="249"/>
      <c r="F39" s="249"/>
      <c r="G39" s="249"/>
      <c r="H39" s="65"/>
      <c r="I39" s="65">
        <v>0.7</v>
      </c>
    </row>
    <row r="40" spans="3:9" ht="20.100000000000001" customHeight="1">
      <c r="C40" s="62" t="s">
        <v>130</v>
      </c>
      <c r="D40" s="249"/>
      <c r="E40" s="249"/>
      <c r="F40" s="249"/>
      <c r="G40" s="249"/>
      <c r="H40" s="65"/>
      <c r="I40" s="65">
        <v>0.9</v>
      </c>
    </row>
    <row r="41" spans="3:9" ht="20.100000000000001" customHeight="1">
      <c r="C41" s="62" t="s">
        <v>131</v>
      </c>
      <c r="D41" s="249"/>
      <c r="E41" s="249"/>
      <c r="F41" s="249"/>
      <c r="G41" s="249"/>
      <c r="H41" s="65"/>
      <c r="I41" s="65">
        <v>0.11</v>
      </c>
    </row>
    <row r="42" spans="3:9" ht="20.100000000000001" customHeight="1">
      <c r="C42" s="254" t="s">
        <v>132</v>
      </c>
      <c r="D42" s="256" t="s">
        <v>133</v>
      </c>
      <c r="E42" s="257"/>
      <c r="F42" s="257"/>
      <c r="G42" s="64">
        <v>2.4E-2</v>
      </c>
      <c r="H42" s="65"/>
      <c r="I42" s="65">
        <f>G42*D11</f>
        <v>2.8799999999999999E-2</v>
      </c>
    </row>
    <row r="43" spans="3:9" ht="20.100000000000001" customHeight="1">
      <c r="C43" s="255"/>
      <c r="D43" s="256" t="s">
        <v>134</v>
      </c>
      <c r="E43" s="257"/>
      <c r="F43" s="257"/>
      <c r="G43" s="64">
        <v>8.1000000000000003E-2</v>
      </c>
      <c r="H43" s="65"/>
      <c r="I43" s="65">
        <v>4.2999999999999997E-2</v>
      </c>
    </row>
    <row r="44" spans="3:9" ht="20.100000000000001" customHeight="1">
      <c r="C44" s="62" t="s">
        <v>135</v>
      </c>
      <c r="D44" s="249" t="s">
        <v>136</v>
      </c>
      <c r="E44" s="249"/>
      <c r="F44" s="249"/>
      <c r="G44" s="249"/>
      <c r="H44" s="65"/>
      <c r="I44" s="65">
        <v>0.1</v>
      </c>
    </row>
    <row r="45" spans="3:9" ht="20.100000000000001" customHeight="1">
      <c r="C45" s="62" t="s">
        <v>137</v>
      </c>
      <c r="D45" s="62" t="s">
        <v>138</v>
      </c>
      <c r="E45" s="247">
        <v>140</v>
      </c>
      <c r="F45" s="248"/>
      <c r="G45" s="64" t="s">
        <v>139</v>
      </c>
      <c r="H45" s="65"/>
      <c r="I45" s="65"/>
    </row>
    <row r="46" spans="3:9" ht="20.100000000000001" customHeight="1">
      <c r="C46" s="62"/>
      <c r="D46" s="249" t="s">
        <v>140</v>
      </c>
      <c r="E46" s="249"/>
      <c r="F46" s="249"/>
      <c r="G46" s="249"/>
      <c r="H46" s="65"/>
      <c r="I46" s="72">
        <f>SUM(I7:I45)</f>
        <v>6.7083000000000013</v>
      </c>
    </row>
    <row r="47" spans="3:9" ht="20.100000000000001" customHeight="1">
      <c r="C47" s="62"/>
      <c r="D47" s="249" t="s">
        <v>141</v>
      </c>
      <c r="E47" s="249"/>
      <c r="F47" s="249"/>
      <c r="G47" s="249"/>
      <c r="H47" s="65"/>
      <c r="I47" s="65">
        <f>I46+(H48/E45)</f>
        <v>6.8954428571428581</v>
      </c>
    </row>
    <row r="48" spans="3:9" ht="20.100000000000001" customHeight="1">
      <c r="C48" s="62"/>
      <c r="D48" s="249" t="s">
        <v>142</v>
      </c>
      <c r="E48" s="249"/>
      <c r="F48" s="249"/>
      <c r="G48" s="249"/>
      <c r="H48" s="65">
        <f>SUM(H4:H47)</f>
        <v>26.200000000000003</v>
      </c>
      <c r="I48" s="65"/>
    </row>
    <row r="49" spans="2:13" ht="20.100000000000001" customHeight="1">
      <c r="H49" s="73"/>
    </row>
    <row r="50" spans="2:13" ht="20.100000000000001" customHeight="1">
      <c r="C50" s="250" t="s">
        <v>67</v>
      </c>
      <c r="D50" s="250"/>
      <c r="E50" s="38"/>
      <c r="F50" s="38" t="s">
        <v>75</v>
      </c>
      <c r="G50" s="38"/>
      <c r="H50" s="74">
        <f>I47*E45</f>
        <v>965.36200000000008</v>
      </c>
      <c r="I50" s="75">
        <f>I47</f>
        <v>6.8954428571428581</v>
      </c>
    </row>
    <row r="51" spans="2:13" ht="20.100000000000001" customHeight="1">
      <c r="C51" s="52" t="s">
        <v>68</v>
      </c>
      <c r="D51" s="251">
        <v>832807</v>
      </c>
      <c r="E51" s="252"/>
      <c r="F51" s="252"/>
      <c r="G51" s="252"/>
      <c r="H51" s="252"/>
      <c r="I51" s="253"/>
    </row>
    <row r="52" spans="2:13" ht="20.100000000000001" customHeight="1">
      <c r="C52" s="52" t="s">
        <v>69</v>
      </c>
      <c r="D52" s="228" t="s">
        <v>143</v>
      </c>
      <c r="E52" s="229"/>
      <c r="F52" s="229"/>
      <c r="G52" s="229"/>
      <c r="H52" s="229"/>
      <c r="I52" s="230"/>
    </row>
    <row r="53" spans="2:13" ht="20.100000000000001" customHeight="1">
      <c r="C53" s="53" t="s">
        <v>70</v>
      </c>
      <c r="D53" s="231">
        <v>2900</v>
      </c>
      <c r="E53" s="232"/>
      <c r="F53" s="232"/>
      <c r="G53" s="232"/>
      <c r="H53" s="232"/>
      <c r="I53" s="233"/>
    </row>
    <row r="54" spans="2:13" ht="20.100000000000001" customHeight="1">
      <c r="C54" s="39"/>
      <c r="D54" s="39"/>
      <c r="E54" s="39"/>
      <c r="F54" s="39"/>
      <c r="G54" s="39"/>
      <c r="H54" s="39"/>
      <c r="I54" s="39"/>
    </row>
    <row r="55" spans="2:13" ht="20.100000000000001" customHeight="1">
      <c r="B55" s="38"/>
      <c r="C55" s="234" t="s">
        <v>71</v>
      </c>
      <c r="D55" s="235"/>
      <c r="E55" s="234" t="s">
        <v>72</v>
      </c>
      <c r="F55" s="236"/>
      <c r="G55" s="235"/>
      <c r="H55" s="234" t="s">
        <v>73</v>
      </c>
      <c r="I55" s="235"/>
    </row>
    <row r="56" spans="2:13" ht="20.100000000000001" customHeight="1">
      <c r="B56" s="76"/>
      <c r="C56" s="237">
        <f>ROUNDUP(I47*E45,0)</f>
        <v>966</v>
      </c>
      <c r="D56" s="238"/>
      <c r="E56" s="237">
        <f>C56</f>
        <v>966</v>
      </c>
      <c r="F56" s="241"/>
      <c r="G56" s="238"/>
      <c r="H56" s="243">
        <f>C56+40</f>
        <v>1006</v>
      </c>
      <c r="I56" s="244"/>
    </row>
    <row r="57" spans="2:13" s="73" customFormat="1" ht="20.100000000000001" customHeight="1">
      <c r="B57" s="76"/>
      <c r="C57" s="239"/>
      <c r="D57" s="240"/>
      <c r="E57" s="239"/>
      <c r="F57" s="242"/>
      <c r="G57" s="240"/>
      <c r="H57" s="245"/>
      <c r="I57" s="246"/>
      <c r="J57" s="61"/>
      <c r="K57" s="61"/>
      <c r="L57" s="61"/>
      <c r="M57" s="61"/>
    </row>
    <row r="58" spans="2:13" s="73" customFormat="1" ht="20.100000000000001" customHeight="1">
      <c r="B58" s="39"/>
      <c r="C58" s="37"/>
      <c r="D58" s="37"/>
      <c r="E58" s="37"/>
      <c r="F58" s="37"/>
      <c r="G58" s="37"/>
      <c r="H58" s="37"/>
      <c r="I58" s="37"/>
      <c r="J58" s="61"/>
      <c r="K58" s="61"/>
      <c r="L58" s="61"/>
      <c r="M58" s="61"/>
    </row>
    <row r="59" spans="2:13" ht="20.100000000000001" customHeight="1">
      <c r="C59" s="37"/>
      <c r="D59" s="37"/>
      <c r="E59" s="215" t="s">
        <v>144</v>
      </c>
      <c r="F59" s="216"/>
      <c r="G59" s="217"/>
      <c r="H59" s="77" t="s">
        <v>145</v>
      </c>
      <c r="I59" s="78" t="s">
        <v>146</v>
      </c>
    </row>
    <row r="60" spans="2:13" ht="20.100000000000001" customHeight="1">
      <c r="C60" s="37"/>
      <c r="D60" s="37"/>
      <c r="E60" s="218">
        <f>H56*1.08</f>
        <v>1086.48</v>
      </c>
      <c r="F60" s="219"/>
      <c r="G60" s="220"/>
      <c r="H60" s="224">
        <v>1450</v>
      </c>
      <c r="I60" s="226">
        <f>(H60-E60)/H60</f>
        <v>0.25070344827586205</v>
      </c>
    </row>
    <row r="61" spans="2:13" ht="20.100000000000001" customHeight="1">
      <c r="C61" s="37"/>
      <c r="D61" s="37"/>
      <c r="E61" s="221"/>
      <c r="F61" s="222"/>
      <c r="G61" s="223"/>
      <c r="H61" s="225"/>
      <c r="I61" s="227"/>
    </row>
    <row r="64" spans="2:13" s="73" customFormat="1">
      <c r="B64" s="61"/>
      <c r="H64" s="79"/>
      <c r="J64" s="61"/>
      <c r="K64" s="61"/>
      <c r="L64" s="61"/>
      <c r="M64" s="61"/>
    </row>
    <row r="65" spans="2:13" s="73" customFormat="1">
      <c r="B65" s="61"/>
      <c r="H65" s="79"/>
      <c r="J65" s="61"/>
      <c r="K65" s="61"/>
      <c r="L65" s="61"/>
      <c r="M65" s="61"/>
    </row>
    <row r="66" spans="2:13" s="73" customFormat="1">
      <c r="B66" s="61"/>
      <c r="H66" s="79"/>
      <c r="J66" s="61"/>
      <c r="K66" s="61"/>
      <c r="L66" s="61"/>
      <c r="M66" s="61"/>
    </row>
    <row r="67" spans="2:13" s="73" customFormat="1">
      <c r="B67" s="61"/>
      <c r="H67" s="79"/>
      <c r="J67" s="61"/>
      <c r="K67" s="61"/>
      <c r="L67" s="61"/>
      <c r="M67" s="61"/>
    </row>
    <row r="68" spans="2:13" s="73" customFormat="1">
      <c r="B68" s="61"/>
      <c r="H68" s="79"/>
      <c r="J68" s="61"/>
      <c r="K68" s="61"/>
      <c r="L68" s="61"/>
      <c r="M68" s="61"/>
    </row>
    <row r="69" spans="2:13" s="73" customFormat="1">
      <c r="B69" s="61"/>
      <c r="H69" s="79"/>
      <c r="J69" s="61"/>
      <c r="K69" s="61"/>
      <c r="L69" s="61"/>
      <c r="M69" s="61"/>
    </row>
  </sheetData>
  <mergeCells count="81">
    <mergeCell ref="D16:G16"/>
    <mergeCell ref="C1:I1"/>
    <mergeCell ref="E2:G2"/>
    <mergeCell ref="D3:G3"/>
    <mergeCell ref="D4:G4"/>
    <mergeCell ref="D5:G5"/>
    <mergeCell ref="D6:G6"/>
    <mergeCell ref="D7:G7"/>
    <mergeCell ref="D8:F8"/>
    <mergeCell ref="D9:F9"/>
    <mergeCell ref="D10:F10"/>
    <mergeCell ref="D11:G11"/>
    <mergeCell ref="D17:G17"/>
    <mergeCell ref="C18:C19"/>
    <mergeCell ref="D18:G18"/>
    <mergeCell ref="H18:H19"/>
    <mergeCell ref="I18:I19"/>
    <mergeCell ref="D19:G19"/>
    <mergeCell ref="C22:C27"/>
    <mergeCell ref="D22:F22"/>
    <mergeCell ref="H22:H24"/>
    <mergeCell ref="I22:I24"/>
    <mergeCell ref="D23:F23"/>
    <mergeCell ref="C20:C21"/>
    <mergeCell ref="D20:F20"/>
    <mergeCell ref="H20:H21"/>
    <mergeCell ref="I20:I21"/>
    <mergeCell ref="D21:F21"/>
    <mergeCell ref="D24:F24"/>
    <mergeCell ref="D25:F25"/>
    <mergeCell ref="H25:H27"/>
    <mergeCell ref="I25:I27"/>
    <mergeCell ref="D26:F26"/>
    <mergeCell ref="D27:F27"/>
    <mergeCell ref="C28:C31"/>
    <mergeCell ref="D28:F28"/>
    <mergeCell ref="H28:H31"/>
    <mergeCell ref="I28:I31"/>
    <mergeCell ref="D29:F29"/>
    <mergeCell ref="D30:F30"/>
    <mergeCell ref="D31:F31"/>
    <mergeCell ref="D39:G39"/>
    <mergeCell ref="C32:C36"/>
    <mergeCell ref="D32:F32"/>
    <mergeCell ref="H32:H33"/>
    <mergeCell ref="I32:I33"/>
    <mergeCell ref="D33:F33"/>
    <mergeCell ref="D34:F34"/>
    <mergeCell ref="H34:H36"/>
    <mergeCell ref="I34:I36"/>
    <mergeCell ref="D35:F35"/>
    <mergeCell ref="D36:F36"/>
    <mergeCell ref="C37:C38"/>
    <mergeCell ref="D37:F37"/>
    <mergeCell ref="H37:H38"/>
    <mergeCell ref="I37:I38"/>
    <mergeCell ref="D38:F38"/>
    <mergeCell ref="D51:I51"/>
    <mergeCell ref="D40:G40"/>
    <mergeCell ref="D41:G41"/>
    <mergeCell ref="C42:C43"/>
    <mergeCell ref="D42:F42"/>
    <mergeCell ref="D43:F43"/>
    <mergeCell ref="D44:G44"/>
    <mergeCell ref="E45:F45"/>
    <mergeCell ref="D46:G46"/>
    <mergeCell ref="D47:G47"/>
    <mergeCell ref="D48:G48"/>
    <mergeCell ref="C50:D50"/>
    <mergeCell ref="E59:G59"/>
    <mergeCell ref="E60:G61"/>
    <mergeCell ref="H60:H61"/>
    <mergeCell ref="I60:I61"/>
    <mergeCell ref="D52:I52"/>
    <mergeCell ref="D53:I53"/>
    <mergeCell ref="C55:D55"/>
    <mergeCell ref="E55:G55"/>
    <mergeCell ref="H55:I55"/>
    <mergeCell ref="C56:D57"/>
    <mergeCell ref="E56:G57"/>
    <mergeCell ref="H56:I57"/>
  </mergeCells>
  <phoneticPr fontId="22"/>
  <printOptions horizontalCentered="1"/>
  <pageMargins left="0.98425196850393704" right="0.70866141732283472" top="0.51181102362204722" bottom="0.35433070866141736" header="0.19685039370078741" footer="0.31496062992125984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商品進捗管理表</vt:lpstr>
      <vt:lpstr>832807見積</vt:lpstr>
      <vt:lpstr>'832807見積'!Print_Area</vt:lpstr>
      <vt:lpstr>商品進捗管理表!Print_Area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梶原さん</dc:creator>
  <cp:lastModifiedBy>藤井部長</cp:lastModifiedBy>
  <cp:lastPrinted>2024-03-14T22:54:46Z</cp:lastPrinted>
  <dcterms:created xsi:type="dcterms:W3CDTF">2018-09-19T08:39:08Z</dcterms:created>
  <dcterms:modified xsi:type="dcterms:W3CDTF">2024-03-14T22:54:53Z</dcterms:modified>
</cp:coreProperties>
</file>